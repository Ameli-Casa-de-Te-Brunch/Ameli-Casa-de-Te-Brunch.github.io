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9.xml.rels" ContentType="application/vnd.openxmlformats-package.relationships+xml"/>
  <Override PartName="/xl/worksheets/_rels/sheet5.xml.rels" ContentType="application/vnd.openxmlformats-package.relationships+xml"/>
  <Override PartName="/xl/worksheets/_rels/sheet1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tables/table8.xml" ContentType="application/vnd.openxmlformats-officedocument.spreadsheetml.table+xml"/>
  <Override PartName="/xl/tables/table12.xml" ContentType="application/vnd.openxmlformats-officedocument.spreadsheetml.table+xml"/>
  <Override PartName="/xl/tables/table5.xml" ContentType="application/vnd.openxmlformats-officedocument.spreadsheetml.table+xml"/>
  <Override PartName="/xl/tables/table3.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4.xml" ContentType="application/vnd.openxmlformats-officedocument.spreadsheetml.table+xml"/>
  <Override PartName="/xl/tables/table7.xml" ContentType="application/vnd.openxmlformats-officedocument.spreadsheetml.table+xml"/>
  <Override PartName="/xl/tables/table1.xml" ContentType="application/vnd.openxmlformats-officedocument.spreadsheetml.table+xml"/>
  <Override PartName="/xl/tables/table6.xml" ContentType="application/vnd.openxmlformats-officedocument.spreadsheetml.table+xml"/>
  <Override PartName="/xl/tables/table9.xml" ContentType="application/vnd.openxmlformats-officedocument.spreadsheetml.table+xml"/>
  <Override PartName="/xl/tables/table2.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3"/>
  </bookViews>
  <sheets>
    <sheet name="00_Resumen" sheetId="1" state="visible" r:id="rId3"/>
    <sheet name="01_Menú_Multilingüe" sheetId="2" state="visible" r:id="rId4"/>
    <sheet name="02_Productos_MASTER" sheetId="3" state="visible" r:id="rId5"/>
    <sheet name="03_Categorías" sheetId="4" state="visible" r:id="rId6"/>
    <sheet name="04_Precios" sheetId="5" state="visible" r:id="rId7"/>
    <sheet name="05_Gastronomía" sheetId="6" state="visible" r:id="rId8"/>
    <sheet name="06_Ingredientes" sheetId="7" state="visible" r:id="rId9"/>
    <sheet name="07_Alérgenos_Dietas" sheetId="8" state="visible" r:id="rId10"/>
    <sheet name="08_Personalización" sheetId="9" state="visible" r:id="rId11"/>
    <sheet name="09_Ingeniería_Menú" sheetId="10" state="visible" r:id="rId12"/>
    <sheet name="10_Multimedia_SEO" sheetId="11" state="visible" r:id="rId13"/>
    <sheet name="11_Canales_QR" sheetId="12" state="visible" r:id="rId14"/>
    <sheet name="12_Estadísticas" sheetId="13" state="visible" r:id="rId15"/>
    <sheet name="13_Configuración" sheetId="14" state="visible" r:id="rId16"/>
    <sheet name="99_Listas" sheetId="15" state="hidden" r:id="rId17"/>
  </sheets>
  <definedNames>
    <definedName function="false" hidden="true" localSheetId="1" name="_xlnm._FilterDatabase" vbProcedure="false">01_Menú_Multilingüe!$A$4:$N$59</definedName>
    <definedName function="false" hidden="true" localSheetId="2" name="_xlnm._FilterDatabase" vbProcedure="false">02_Productos_MASTER!$A$4:$Q$59</definedName>
    <definedName function="false" hidden="true" localSheetId="4" name="_xlnm._FilterDatabase" vbProcedure="false">04_Precios!$A$4:$N$59</definedName>
    <definedName function="false" hidden="true" localSheetId="5" name="_xlnm._FilterDatabase" vbProcedure="false">05_Gastronomía!$A$4:$L$59</definedName>
    <definedName function="false" hidden="true" localSheetId="6" name="_xlnm._FilterDatabase" vbProcedure="false">06_Ingredientes!$A$4:$P$59</definedName>
    <definedName function="false" hidden="true" localSheetId="7" name="_xlnm._FilterDatabase" vbProcedure="false">07_Alérgenos_Dietas!$A$4:$S$59</definedName>
    <definedName function="false" hidden="true" localSheetId="8" name="_xlnm._FilterDatabase" vbProcedure="false">08_Personalización!$A$4:$N$59</definedName>
    <definedName function="false" hidden="true" localSheetId="9" name="_xlnm._FilterDatabase" vbProcedure="false">09_Ingeniería_Menú!$A$4:$P$59</definedName>
    <definedName function="false" hidden="true" localSheetId="10" name="_xlnm._FilterDatabase" vbProcedure="false">10_Multimedia_SEO!$A$4:$Y$59</definedName>
    <definedName function="false" hidden="true" localSheetId="11" name="_xlnm._FilterDatabase" vbProcedure="false">11_Canales_QR!$A$4:$N$59</definedName>
    <definedName function="false" hidden="true" localSheetId="12" name="_xlnm._FilterDatabase" vbProcedure="false">12_Estadísticas!$A$4:$P$59</definedName>
    <definedName function="false" hidden="false" name="Lista_Clasif" vbProcedure="false">99_Listas!$D$3:$D$7</definedName>
    <definedName function="false" hidden="false" name="Lista_Codigos" vbProcedure="false">03_Categorías!$A$5:$A$17</definedName>
    <definedName function="false" hidden="false" name="Lista_SiNo" vbProcedure="false">99_Listas!$A$3:$A$4</definedName>
    <definedName function="false" hidden="false" name="Lista_SNV" vbProcedure="false">99_Listas!$B$3:$B$5</definedName>
    <definedName function="false" hidden="false" name="Lista_Temperatura" vbProcedure="false">99_Listas!$C$3:$C$9</definedName>
    <definedName function="false" hidden="false" name="TC_USD" vbProcedure="false">13_Configuración!$B$6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<sst xmlns="http://schemas.openxmlformats.org/spreadsheetml/2006/main" count="6566" uniqueCount="2187">
  <si>
    <t xml:space="preserve">Amelí · Sistema maestro del menú digital multilingüe</t>
  </si>
  <si>
    <t xml:space="preserve">Archivo preparado para menú QR mobile-first, traducciones, precios, ingeniería de menú, alérgenos, multimedia, SEO, canales y estadísticas.</t>
  </si>
  <si>
    <t xml:space="preserve">Indicador</t>
  </si>
  <si>
    <t xml:space="preserve">Resultado</t>
  </si>
  <si>
    <t xml:space="preserve">Flujo de trabajo recomendado</t>
  </si>
  <si>
    <t xml:space="preserve">Total de productos</t>
  </si>
  <si>
    <t xml:space="preserve">1</t>
  </si>
  <si>
    <t xml:space="preserve">Validar nombres, descripciones y categorías</t>
  </si>
  <si>
    <t xml:space="preserve">01_Menú_Multilingüe</t>
  </si>
  <si>
    <t xml:space="preserve">Productos activos</t>
  </si>
  <si>
    <t xml:space="preserve">2</t>
  </si>
  <si>
    <t xml:space="preserve">Completar precios y costos</t>
  </si>
  <si>
    <t xml:space="preserve">04_Precios</t>
  </si>
  <si>
    <t xml:space="preserve">Categorías</t>
  </si>
  <si>
    <t xml:space="preserve">3</t>
  </si>
  <si>
    <t xml:space="preserve">Validar ingredientes y alérgenos</t>
  </si>
  <si>
    <t xml:space="preserve">06_Ingredientes / 07_Alérgenos_Dietas</t>
  </si>
  <si>
    <t xml:space="preserve">Traducciones completas</t>
  </si>
  <si>
    <t xml:space="preserve">4</t>
  </si>
  <si>
    <t xml:space="preserve">Cargar fotografías, enlaces y URL base</t>
  </si>
  <si>
    <t xml:space="preserve">10_Multimedia_SEO / 13_Configuración</t>
  </si>
  <si>
    <t xml:space="preserve">Precios cargados</t>
  </si>
  <si>
    <t xml:space="preserve">5</t>
  </si>
  <si>
    <t xml:space="preserve">Definir visibilidad y temporalidad</t>
  </si>
  <si>
    <t xml:space="preserve">11_Canales_QR</t>
  </si>
  <si>
    <t xml:space="preserve">Fotografías cargadas</t>
  </si>
  <si>
    <t xml:space="preserve">6</t>
  </si>
  <si>
    <t xml:space="preserve">Cargar ventas y medir interacción</t>
  </si>
  <si>
    <t xml:space="preserve">12_Estadísticas</t>
  </si>
  <si>
    <t xml:space="preserve">Unidades vendidas registradas</t>
  </si>
  <si>
    <t xml:space="preserve">7</t>
  </si>
  <si>
    <t xml:space="preserve">Tomar decisiones de ingeniería de menú</t>
  </si>
  <si>
    <t xml:space="preserve">09_Ingeniería_Menú</t>
  </si>
  <si>
    <t xml:space="preserve">Productos clasificados</t>
  </si>
  <si>
    <t xml:space="preserve">Orden</t>
  </si>
  <si>
    <t xml:space="preserve">Categoría</t>
  </si>
  <si>
    <t xml:space="preserve">Productos</t>
  </si>
  <si>
    <t xml:space="preserve">Notas críticas antes de publicar</t>
  </si>
  <si>
    <t xml:space="preserve">Desayunos &amp; Meriendas</t>
  </si>
  <si>
    <t xml:space="preserve">•</t>
  </si>
  <si>
    <t xml:space="preserve">No tratar «Sin TACC» como garantía sin validar certificación y manipulación.</t>
  </si>
  <si>
    <t xml:space="preserve">Delicias</t>
  </si>
  <si>
    <t xml:space="preserve">No publicar alérgenos basados únicamente en el nombre del producto.</t>
  </si>
  <si>
    <t xml:space="preserve">Té en Hebras</t>
  </si>
  <si>
    <t xml:space="preserve">Mantener el QR físico permanente; controlar promociones y disponibilidad desde la web.</t>
  </si>
  <si>
    <t xml:space="preserve">Tisanas</t>
  </si>
  <si>
    <t xml:space="preserve">Las etiquetas «Más vendido» y la clasificación deben provenir de datos reales.</t>
  </si>
  <si>
    <t xml:space="preserve">Blends</t>
  </si>
  <si>
    <t xml:space="preserve">Revisar precios, disponibilidad y horarios antes de cada temporada turística.</t>
  </si>
  <si>
    <t xml:space="preserve">Especiales</t>
  </si>
  <si>
    <t xml:space="preserve">Café Clásico</t>
  </si>
  <si>
    <t xml:space="preserve">Café Frío</t>
  </si>
  <si>
    <t xml:space="preserve">Batidos &amp; Jugos</t>
  </si>
  <si>
    <t xml:space="preserve">Adicionales</t>
  </si>
  <si>
    <t xml:space="preserve">Sin TACC</t>
  </si>
  <si>
    <t xml:space="preserve">Tortas &amp; Tartas</t>
  </si>
  <si>
    <t xml:space="preserve">Sándwiches &amp; Tostones</t>
  </si>
  <si>
    <t xml:space="preserve">CÓMO USAR ESTE ARCHIVO (guía rápida)</t>
  </si>
  <si>
    <t xml:space="preserve">Convención de colores</t>
  </si>
  <si>
    <t xml:space="preserve">Amarillo = lo cargás vos · Naranja = dice «Verificar»: confirmalo y elegí Sí/No · Sin color = se calcula solo.</t>
  </si>
  <si>
    <t xml:space="preserve">Para publicar el menú</t>
  </si>
  <si>
    <t xml:space="preserve">Solo necesitás tres hojas: 01 (nombres y textos), 02 (qué se muestra y en qué orden) y 04 (precios).</t>
  </si>
  <si>
    <t xml:space="preserve">Los textos en 5 idiomas. Si editás, mirá que la columna «Estado de traducción» siga en «Completa».</t>
  </si>
  <si>
    <t xml:space="preserve">02_Productos_MASTER</t>
  </si>
  <si>
    <t xml:space="preserve">El interruptor de cada producto: activo, destacado, recomendado, nuevo. Todo con desplegable Sí/No.</t>
  </si>
  <si>
    <t xml:space="preserve">03_Categorías</t>
  </si>
  <si>
    <t xml:space="preserve">El orden y nombre de las secciones del menú. Casi nunca se toca.</t>
  </si>
  <si>
    <t xml:space="preserve">Cargá precio local y costo (amarillo). El resto (USD, margen, fecha) se calcula solo.</t>
  </si>
  <si>
    <t xml:space="preserve">05 a 08</t>
  </si>
  <si>
    <t xml:space="preserve">Ficha operativa, ingredientes, alérgenos y personalización. Andá reemplazando los «Verificar» con desplegables.</t>
  </si>
  <si>
    <t xml:space="preserve">Se llena sola con precios (04) y ventas (12). Clasifica: Estrella / Caballo / Incógnita / Perro.</t>
  </si>
  <si>
    <t xml:space="preserve">10 a 12</t>
  </si>
  <si>
    <t xml:space="preserve">Fotos y SEO, canales de publicación y estadísticas. Para más adelante; no bloquean el menú.</t>
  </si>
  <si>
    <t xml:space="preserve">13_Configuración</t>
  </si>
  <si>
    <t xml:space="preserve">Datos generales: tipo de cambio (amarillo), WhatsApp, Instagram, dirección.</t>
  </si>
  <si>
    <t xml:space="preserve">Ordenar y filtrar</t>
  </si>
  <si>
    <t xml:space="preserve">Podés ordenar o filtrar tranquilo: las fórmulas buscan por ID, no por posición de fila.</t>
  </si>
  <si>
    <t xml:space="preserve">Menú multilingüe · Amelí Casa de Té &amp; Brunch</t>
  </si>
  <si>
    <t xml:space="preserve">Base editorial principal para el menú QR. Las traducciones están localizadas para turistas y preservan los nombres propios cuando aportan identidad.</t>
  </si>
  <si>
    <t xml:space="preserve">ID</t>
  </si>
  <si>
    <t xml:space="preserve">Nombre ES-AR</t>
  </si>
  <si>
    <t xml:space="preserve">Nombre EN-UK</t>
  </si>
  <si>
    <t xml:space="preserve">Nombre PT-BR</t>
  </si>
  <si>
    <t xml:space="preserve">Nombre FR-FR</t>
  </si>
  <si>
    <t xml:space="preserve">Nombre IT-IT</t>
  </si>
  <si>
    <t xml:space="preserve">Descripción ES-AR</t>
  </si>
  <si>
    <t xml:space="preserve">Descripción EN-UK</t>
  </si>
  <si>
    <t xml:space="preserve">Descripción PT-BR</t>
  </si>
  <si>
    <t xml:space="preserve">Descripción FR-FR</t>
  </si>
  <si>
    <t xml:space="preserve">Descripción IT-IT</t>
  </si>
  <si>
    <t xml:space="preserve">Estado de traducción</t>
  </si>
  <si>
    <t xml:space="preserve">DYM001</t>
  </si>
  <si>
    <t xml:space="preserve">Avocado</t>
  </si>
  <si>
    <t xml:space="preserve">Avocado Breakfast</t>
  </si>
  <si>
    <t xml:space="preserve">Café da manhã com abacate</t>
  </si>
  <si>
    <t xml:space="preserve">Petit-déjeuner à l’avocat</t>
  </si>
  <si>
    <t xml:space="preserve">Colazione con avocado</t>
  </si>
  <si>
    <t xml:space="preserve">Bowl de huevos revueltos y palta, acompañado de dos tostadas, queso crema, café o té y un vaso pequeño de jugo de naranja.</t>
  </si>
  <si>
    <t xml:space="preserve">A bowl of scrambled eggs and avocado, served with two slices of toast, cream cheese, coffee or tea, and a small glass of orange juice.</t>
  </si>
  <si>
    <t xml:space="preserve">Bowl de ovos mexidos com abacate, acompanhado de duas torradas, cream cheese, café ou chá e um pequeno copo de suco de laranja.</t>
  </si>
  <si>
    <t xml:space="preserve">Bol d’œufs brouillés et d’avocat, accompagné de deux toasts, de fromage frais, d’un café ou d’un thé et d’un petit verre de jus d’orange.</t>
  </si>
  <si>
    <t xml:space="preserve">Bowl con uova strapazzate e avocado, accompagnato da due fette di pane tostato, formaggio spalmabile, caffè o tè e un piccolo bicchiere di succo d’arancia.</t>
  </si>
  <si>
    <t xml:space="preserve">DYM002</t>
  </si>
  <si>
    <t xml:space="preserve">Desayuno clásico</t>
  </si>
  <si>
    <t xml:space="preserve">Classic Breakfast</t>
  </si>
  <si>
    <t xml:space="preserve">Café da manhã clássico</t>
  </si>
  <si>
    <t xml:space="preserve">Petit-déjeuner classique</t>
  </si>
  <si>
    <t xml:space="preserve">Colazione classica</t>
  </si>
  <si>
    <t xml:space="preserve">Dos tostadas con queso crema y mermelada, acompañadas de café o té y un vaso pequeño de jugo de naranja.</t>
  </si>
  <si>
    <t xml:space="preserve">Two slices of toast with cream cheese and jam, served with coffee or tea and a small glass of orange juice.</t>
  </si>
  <si>
    <t xml:space="preserve">Duas torradas com cream cheese e geleia, acompanhadas de café ou chá e um pequeno copo de suco de laranja.</t>
  </si>
  <si>
    <t xml:space="preserve">Deux toasts avec fromage frais et confiture, accompagnés d’un café ou d’un thé et d’un petit verre de jus d’orange.</t>
  </si>
  <si>
    <t xml:space="preserve">Due fette di pane tostato con formaggio spalmabile e confettura, accompagnate da caffè o tè e da un piccolo bicchiere di succo d’arancia.</t>
  </si>
  <si>
    <t xml:space="preserve">DYM003</t>
  </si>
  <si>
    <t xml:space="preserve">Desayuno mendocino</t>
  </si>
  <si>
    <t xml:space="preserve">Mendoza Breakfast</t>
  </si>
  <si>
    <t xml:space="preserve">Café da manhã mendocino</t>
  </si>
  <si>
    <t xml:space="preserve">Petit-déjeuner mendocin</t>
  </si>
  <si>
    <t xml:space="preserve">Colazione mendocina</t>
  </si>
  <si>
    <t xml:space="preserve">Dos raspaditas mendocinas, acompañadas de café o té y un vaso pequeño de jugo de naranja.</t>
  </si>
  <si>
    <t xml:space="preserve">Two traditional Mendoza raspaditas, served with coffee or tea and a small glass of orange juice.</t>
  </si>
  <si>
    <t xml:space="preserve">Duas raspaditas tradicionais de Mendoza, acompanhadas de café ou chá e um pequeno copo de suco de laranja.</t>
  </si>
  <si>
    <t xml:space="preserve">Deux raspaditas traditionnelles de Mendoza, accompagnées d’un café ou d’un thé et d’un petit verre de jus d’orange.</t>
  </si>
  <si>
    <t xml:space="preserve">Due raspaditas tradizionali di Mendoza, accompagnate da caffè o tè e da un piccolo bicchiere di succo d’arancia.</t>
  </si>
  <si>
    <t xml:space="preserve">DYM004</t>
  </si>
  <si>
    <t xml:space="preserve">Desayuno saludable</t>
  </si>
  <si>
    <t xml:space="preserve">Healthy Breakfast</t>
  </si>
  <si>
    <t xml:space="preserve">Café da manhã saudável</t>
  </si>
  <si>
    <t xml:space="preserve">Petit-déjeuner équilibré</t>
  </si>
  <si>
    <t xml:space="preserve">Colazione salutare</t>
  </si>
  <si>
    <t xml:space="preserve">Yogur con frutas de estación, granola, frutos secos, miel y coco, acompañado de café o té y un vaso pequeño de jugo de naranja.</t>
  </si>
  <si>
    <t xml:space="preserve">Yoghurt with seasonal fruit, granola, nuts, honey and coconut, served with coffee or tea and a small glass of orange juice.</t>
  </si>
  <si>
    <t xml:space="preserve">Iogurte com frutas da estação, granola, castanhas, mel e coco, acompanhado de café ou chá e um pequeno copo de suco de laranja.</t>
  </si>
  <si>
    <t xml:space="preserve">Yaourt aux fruits de saison, granola, fruits à coque, miel et noix de coco, accompagné d’un café ou d’un thé et d’un petit verre de jus d’orange.</t>
  </si>
  <si>
    <t xml:space="preserve">Yogurt con frutta di stagione, granola, frutta secca, miele e cocco, accompagnato da caffè o tè e da un piccolo bicchiere di succo d’arancia.</t>
  </si>
  <si>
    <t xml:space="preserve">DEL001</t>
  </si>
  <si>
    <t xml:space="preserve">Bowl de huevos</t>
  </si>
  <si>
    <t xml:space="preserve">Egg Bowl</t>
  </si>
  <si>
    <t xml:space="preserve">Bowl de ovos</t>
  </si>
  <si>
    <t xml:space="preserve">Bowl d’œufs</t>
  </si>
  <si>
    <t xml:space="preserve">Bowl di uova</t>
  </si>
  <si>
    <t xml:space="preserve">Huevos preparados al momento y servidos en bowl. Consultar los acompañamientos disponibles.</t>
  </si>
  <si>
    <t xml:space="preserve">Eggs cooked to order and served in a bowl. Please ask about the available accompaniments.</t>
  </si>
  <si>
    <t xml:space="preserve">Ovos preparados na hora e servidos em bowl. Consulte os acompanhamentos disponíveis.</t>
  </si>
  <si>
    <t xml:space="preserve">Œufs préparés à la demande et servis dans un bol. Merci de consulter les accompagnements disponibles.</t>
  </si>
  <si>
    <t xml:space="preserve">Uova preparate al momento e servite in bowl. Chiedere quali accompagnamenti sono disponibili.</t>
  </si>
  <si>
    <t xml:space="preserve">DEL002</t>
  </si>
  <si>
    <t xml:space="preserve">Bowl de frutas</t>
  </si>
  <si>
    <t xml:space="preserve">Seasonal Fruit Bowl</t>
  </si>
  <si>
    <t xml:space="preserve">Bowl de frutas da estação</t>
  </si>
  <si>
    <t xml:space="preserve">Bol de fruits de saison</t>
  </si>
  <si>
    <t xml:space="preserve">Bowl di frutta di stagione</t>
  </si>
  <si>
    <t xml:space="preserve">Selección de frutas frescas de estación, servidas en bowl.</t>
  </si>
  <si>
    <t xml:space="preserve">A selection of fresh seasonal fruit, served in a bowl.</t>
  </si>
  <si>
    <t xml:space="preserve">Seleção de frutas frescas da estação, servidas em bowl.</t>
  </si>
  <si>
    <t xml:space="preserve">Sélection de fruits frais de saison, servis dans un bol.</t>
  </si>
  <si>
    <t xml:space="preserve">Selezione di frutta fresca di stagione, servita in bowl.</t>
  </si>
  <si>
    <t xml:space="preserve">DEL003</t>
  </si>
  <si>
    <t xml:space="preserve">Chipá</t>
  </si>
  <si>
    <t xml:space="preserve">Chipá Cheese Rolls</t>
  </si>
  <si>
    <t xml:space="preserve">Pão de queijo tipo chipá</t>
  </si>
  <si>
    <t xml:space="preserve">Petits pains au fromage chipá</t>
  </si>
  <si>
    <t xml:space="preserve">Panini al formaggio chipá</t>
  </si>
  <si>
    <t xml:space="preserve">Panecillos de almidón de mandioca y queso, suaves por dentro y ligeramente crocantes por fuera.</t>
  </si>
  <si>
    <t xml:space="preserve">Cheese rolls made with cassava starch, soft inside and lightly crisp outside.</t>
  </si>
  <si>
    <t xml:space="preserve">Pãezinhos de polvilho e queijo, macios por dentro e levemente crocantes por fora.</t>
  </si>
  <si>
    <t xml:space="preserve">Petits pains au fromage à base de fécule de manioc, moelleux à l’intérieur et légèrement croustillants à l’extérieur.</t>
  </si>
  <si>
    <t xml:space="preserve">Panini al formaggio preparati con amido di manioca, morbidi all’interno e leggermente croccanti fuori.</t>
  </si>
  <si>
    <t xml:space="preserve">DEL004</t>
  </si>
  <si>
    <t xml:space="preserve">Medialunas</t>
  </si>
  <si>
    <t xml:space="preserve">Argentine Croissants</t>
  </si>
  <si>
    <t xml:space="preserve">Medialunas argentinas</t>
  </si>
  <si>
    <t xml:space="preserve">Croissants argentins</t>
  </si>
  <si>
    <t xml:space="preserve">Cornetti argentini</t>
  </si>
  <si>
    <t xml:space="preserve">Medialunas argentinas suaves y hojaldradas. Consultar presentación y cantidad por porción.</t>
  </si>
  <si>
    <t xml:space="preserve">Soft, flaky Argentine croissants. Please ask about serving size and presentation.</t>
  </si>
  <si>
    <t xml:space="preserve">Medialunas argentinas macias e folhadas. Consulte a quantidade e a apresentação da porção.</t>
  </si>
  <si>
    <t xml:space="preserve">Croissants argentins moelleux et feuilletés. Merci de consulter la quantité et la présentation.</t>
  </si>
  <si>
    <t xml:space="preserve">Cornetti argentini soffici e sfogliati. Chiedere quantità e presentazione della porzione.</t>
  </si>
  <si>
    <t xml:space="preserve">DEL005</t>
  </si>
  <si>
    <t xml:space="preserve">Mini budines</t>
  </si>
  <si>
    <t xml:space="preserve">Mini Loaf Cakes</t>
  </si>
  <si>
    <t xml:space="preserve">Mini bolos tipo inglês</t>
  </si>
  <si>
    <t xml:space="preserve">Mini cakes</t>
  </si>
  <si>
    <t xml:space="preserve">Mini plumcake</t>
  </si>
  <si>
    <t xml:space="preserve">Selección de mini budines artesanales. Consultar los sabores disponibles del día.</t>
  </si>
  <si>
    <t xml:space="preserve">A selection of handmade mini loaf cakes. Please ask about today’s available flavours.</t>
  </si>
  <si>
    <t xml:space="preserve">Seleção de mini bolos artesanais. Consulte os sabores disponíveis do dia.</t>
  </si>
  <si>
    <t xml:space="preserve">Sélection de mini cakes artisanaux. Merci de demander les parfums disponibles du jour.</t>
  </si>
  <si>
    <t xml:space="preserve">Selezione di mini plumcake artigianali. Chiedere i gusti disponibili del giorno.</t>
  </si>
  <si>
    <t xml:space="preserve">DEL006</t>
  </si>
  <si>
    <t xml:space="preserve">Raspaditas mendocinas</t>
  </si>
  <si>
    <t xml:space="preserve">Mendoza Raspaditas</t>
  </si>
  <si>
    <t xml:space="preserve">Raspaditas de Mendoza</t>
  </si>
  <si>
    <t xml:space="preserve">Raspaditas mendocine</t>
  </si>
  <si>
    <t xml:space="preserve">Tortitas saladas tradicionales de Mendoza, de textura firme, ideales para acompañar café, té o mate.</t>
  </si>
  <si>
    <t xml:space="preserve">Traditional savoury baked rounds from Mendoza, with a firm texture and perfect alongside coffee, tea or mate.</t>
  </si>
  <si>
    <t xml:space="preserve">Tortinhas salgadas tradicionais de Mendoza, de textura firme, ideais para acompanhar café, chá ou mate.</t>
  </si>
  <si>
    <t xml:space="preserve">Petites galettes salées traditionnelles de Mendoza, à la texture ferme, idéales avec un café, un thé ou du maté.</t>
  </si>
  <si>
    <t xml:space="preserve">Focaccine salate tradizionali di Mendoza, dalla consistenza compatta, ideali con caffè, tè o mate.</t>
  </si>
  <si>
    <t xml:space="preserve">DEL007</t>
  </si>
  <si>
    <t xml:space="preserve">Smoothie bowl</t>
  </si>
  <si>
    <t xml:space="preserve">Smoothie Bowl</t>
  </si>
  <si>
    <t xml:space="preserve">Base cremosa de frutas servida en bowl con toppings. Consultar la combinación disponible del día.</t>
  </si>
  <si>
    <t xml:space="preserve">A creamy fruit base served in a bowl with toppings. Please ask about today’s available combination.</t>
  </si>
  <si>
    <t xml:space="preserve">Base cremosa de frutas servida em bowl com toppings. Consulte a combinação disponível do dia.</t>
  </si>
  <si>
    <t xml:space="preserve">Base crémeuse de fruits servie dans un bol avec garnitures. Merci de demander la composition disponible du jour.</t>
  </si>
  <si>
    <t xml:space="preserve">Base cremosa di frutta servita in bowl con topping. Chiedere la combinazione disponibile del giorno.</t>
  </si>
  <si>
    <t xml:space="preserve">TEH001</t>
  </si>
  <si>
    <t xml:space="preserve">Selección de té en hebras</t>
  </si>
  <si>
    <t xml:space="preserve">Loose-Leaf Tea Selection</t>
  </si>
  <si>
    <t xml:space="preserve">Seleção de chás de folhas soltas</t>
  </si>
  <si>
    <t xml:space="preserve">Sélection de thés en feuilles</t>
  </si>
  <si>
    <t xml:space="preserve">Selezione di tè in foglia</t>
  </si>
  <si>
    <t xml:space="preserve">Té negro, pu-erh o verde, preparado en hebras.</t>
  </si>
  <si>
    <t xml:space="preserve">Black, pu-erh or green tea, brewed from loose leaves.</t>
  </si>
  <si>
    <t xml:space="preserve">Chá preto, pu-erh ou verde, preparado com folhas soltas.</t>
  </si>
  <si>
    <t xml:space="preserve">Thé noir, pu-erh ou vert, préparé en feuilles.</t>
  </si>
  <si>
    <t xml:space="preserve">Tè nero, pu-erh o verde, preparato con foglie sfuse.</t>
  </si>
  <si>
    <t xml:space="preserve">TIS001</t>
  </si>
  <si>
    <t xml:space="preserve">Tisana 1 · Cedrón &amp; lavanda</t>
  </si>
  <si>
    <t xml:space="preserve">Herbal Infusion 1 · Lemon Verbena &amp; Lavender</t>
  </si>
  <si>
    <t xml:space="preserve">Infusão 1 · Erva-luísa &amp; lavanda</t>
  </si>
  <si>
    <t xml:space="preserve">Tisane 1 · Verveine citronnée &amp; lavande</t>
  </si>
  <si>
    <t xml:space="preserve">Tisana 1 · Verbena odorosa &amp; lavanda</t>
  </si>
  <si>
    <t xml:space="preserve">Cedrón, lavanda, manzanilla y melisa.</t>
  </si>
  <si>
    <t xml:space="preserve">Lemon verbena, lavender, chamomile and lemon balm.</t>
  </si>
  <si>
    <t xml:space="preserve">Erva-luísa, lavanda, camomila e melissa.</t>
  </si>
  <si>
    <t xml:space="preserve">Verveine citronnée, lavande, camomille et mélisse.</t>
  </si>
  <si>
    <t xml:space="preserve">Verbena odorosa, lavanda, camomilla e melissa.</t>
  </si>
  <si>
    <t xml:space="preserve">TIS002</t>
  </si>
  <si>
    <t xml:space="preserve">Tisana 2 · Limón &amp; menta</t>
  </si>
  <si>
    <t xml:space="preserve">Herbal Infusion 2 · Lemon &amp; Mint</t>
  </si>
  <si>
    <t xml:space="preserve">Infusão 2 · Limão &amp; hortelã</t>
  </si>
  <si>
    <t xml:space="preserve">Tisane 2 · Citron &amp; menthe</t>
  </si>
  <si>
    <t xml:space="preserve">Tisana 2 · Limone &amp; menta</t>
  </si>
  <si>
    <t xml:space="preserve">Limón, menta y salvia blanca.</t>
  </si>
  <si>
    <t xml:space="preserve">Lemon, mint and white sage.</t>
  </si>
  <si>
    <t xml:space="preserve">Limão, hortelã e sálvia-branca.</t>
  </si>
  <si>
    <t xml:space="preserve">Citron, menthe et sauge blanche.</t>
  </si>
  <si>
    <t xml:space="preserve">Limone, menta e salvia bianca.</t>
  </si>
  <si>
    <t xml:space="preserve">TIS003</t>
  </si>
  <si>
    <t xml:space="preserve">Tisana 3 · Manzanilla &amp; melisa</t>
  </si>
  <si>
    <t xml:space="preserve">Herbal Infusion 3 · Chamomile &amp; Lemon Balm</t>
  </si>
  <si>
    <t xml:space="preserve">Infusão 3 · Camomila &amp; melissa</t>
  </si>
  <si>
    <t xml:space="preserve">Tisane 3 · Camomille &amp; mélisse</t>
  </si>
  <si>
    <t xml:space="preserve">Tisana 3 · Camomilla &amp; melissa</t>
  </si>
  <si>
    <t xml:space="preserve">Manzanilla, melisa y menta.</t>
  </si>
  <si>
    <t xml:space="preserve">Chamomile, lemon balm and mint.</t>
  </si>
  <si>
    <t xml:space="preserve">Camomila, melissa e hortelã.</t>
  </si>
  <si>
    <t xml:space="preserve">Camomille, mélisse et menthe.</t>
  </si>
  <si>
    <t xml:space="preserve">Camomilla, melissa e menta.</t>
  </si>
  <si>
    <t xml:space="preserve">BLE001</t>
  </si>
  <si>
    <t xml:space="preserve">Del bosque</t>
  </si>
  <si>
    <t xml:space="preserve">Forest Blend</t>
  </si>
  <si>
    <t xml:space="preserve">Blend do bosque</t>
  </si>
  <si>
    <t xml:space="preserve">Mélange des bois</t>
  </si>
  <si>
    <t xml:space="preserve">Miscela del bosco</t>
  </si>
  <si>
    <t xml:space="preserve">Té negro, cacao y naranja.</t>
  </si>
  <si>
    <t xml:space="preserve">Black tea with cacao and orange.</t>
  </si>
  <si>
    <t xml:space="preserve">Chá preto com cacau e laranja.</t>
  </si>
  <si>
    <t xml:space="preserve">Thé noir au cacao et à l’orange.</t>
  </si>
  <si>
    <t xml:space="preserve">Tè nero con cacao e arancia.</t>
  </si>
  <si>
    <t xml:space="preserve">BLE002</t>
  </si>
  <si>
    <t xml:space="preserve">Detox</t>
  </si>
  <si>
    <t xml:space="preserve">Detox Blend</t>
  </si>
  <si>
    <t xml:space="preserve">Blend detox</t>
  </si>
  <si>
    <t xml:space="preserve">Mélange détox</t>
  </si>
  <si>
    <t xml:space="preserve">Miscela detox</t>
  </si>
  <si>
    <t xml:space="preserve">Té verde, jengibre, limón y menta.</t>
  </si>
  <si>
    <t xml:space="preserve">Green tea with ginger, lemon and mint.</t>
  </si>
  <si>
    <t xml:space="preserve">Chá verde com gengibre, limão e hortelã.</t>
  </si>
  <si>
    <t xml:space="preserve">Thé vert au gingembre, au citron et à la menthe.</t>
  </si>
  <si>
    <t xml:space="preserve">Tè verde con zenzero, limone e menta.</t>
  </si>
  <si>
    <t xml:space="preserve">BLE003</t>
  </si>
  <si>
    <t xml:space="preserve">Dorado</t>
  </si>
  <si>
    <t xml:space="preserve">Golden Blend</t>
  </si>
  <si>
    <t xml:space="preserve">Blend dourado</t>
  </si>
  <si>
    <t xml:space="preserve">Mélange doré</t>
  </si>
  <si>
    <t xml:space="preserve">Miscela dorata</t>
  </si>
  <si>
    <t xml:space="preserve">Té verde, caléndula, durazno y limón.</t>
  </si>
  <si>
    <t xml:space="preserve">Green tea with calendula, peach and lemon.</t>
  </si>
  <si>
    <t xml:space="preserve">Chá verde com calêndula, pêssego e limão.</t>
  </si>
  <si>
    <t xml:space="preserve">Thé vert au calendula, à la pêche et au citron.</t>
  </si>
  <si>
    <t xml:space="preserve">Tè verde con calendula, pesca e limone.</t>
  </si>
  <si>
    <t xml:space="preserve">BLE004</t>
  </si>
  <si>
    <t xml:space="preserve">Love</t>
  </si>
  <si>
    <t xml:space="preserve">Love Blend</t>
  </si>
  <si>
    <t xml:space="preserve">Blend love</t>
  </si>
  <si>
    <t xml:space="preserve">Mélange love</t>
  </si>
  <si>
    <t xml:space="preserve">Miscela love</t>
  </si>
  <si>
    <t xml:space="preserve">Té pu-erh, hibisco y pomelo.</t>
  </si>
  <si>
    <t xml:space="preserve">Pu-erh tea with hibiscus and grapefruit.</t>
  </si>
  <si>
    <t xml:space="preserve">Chá pu-erh com hibisco e toranja.</t>
  </si>
  <si>
    <t xml:space="preserve">Thé pu-erh à l’hibiscus et au pamplemousse.</t>
  </si>
  <si>
    <t xml:space="preserve">Tè pu-erh con ibisco e pompelmo.</t>
  </si>
  <si>
    <t xml:space="preserve">ESP001</t>
  </si>
  <si>
    <t xml:space="preserve">Submarino</t>
  </si>
  <si>
    <t xml:space="preserve">Argentine Submarino</t>
  </si>
  <si>
    <t xml:space="preserve">Submarino argentino</t>
  </si>
  <si>
    <t xml:space="preserve">Submarino argentin</t>
  </si>
  <si>
    <t xml:space="preserve">Leche caliente servida con una barra de chocolate para fundir.</t>
  </si>
  <si>
    <t xml:space="preserve">Hot milk served with a chocolate bar to melt into the drink.</t>
  </si>
  <si>
    <t xml:space="preserve">Leite quente servido com uma barra de chocolate para derreter na bebida.</t>
  </si>
  <si>
    <t xml:space="preserve">Lait chaud servi avec une barre de chocolat à faire fondre dans la boisson.</t>
  </si>
  <si>
    <t xml:space="preserve">Latte caldo servito con una tavoletta di cioccolato da sciogliere nella bevanda.</t>
  </si>
  <si>
    <t xml:space="preserve">ESP002</t>
  </si>
  <si>
    <t xml:space="preserve">Leche dorada</t>
  </si>
  <si>
    <t xml:space="preserve">Golden Milk</t>
  </si>
  <si>
    <t xml:space="preserve">Golden milk</t>
  </si>
  <si>
    <t xml:space="preserve">Lait doré</t>
  </si>
  <si>
    <t xml:space="preserve">Leche especiada con anís estrellado, canela, clavo de olor, cúrcuma, jengibre y pimienta negra.</t>
  </si>
  <si>
    <t xml:space="preserve">Spiced milk with star anise, cinnamon, cloves, turmeric, ginger and black pepper.</t>
  </si>
  <si>
    <t xml:space="preserve">Leite aromatizado com anis-estrelado, canela, cravo, cúrcuma, gengibre e pimenta-do-reino.</t>
  </si>
  <si>
    <t xml:space="preserve">Lait épicé à l’anis étoilé, à la cannelle, au clou de girofle, au curcuma, au gingembre et au poivre noir.</t>
  </si>
  <si>
    <t xml:space="preserve">Latte speziato con anice stellato, cannella, chiodi di garofano, curcuma, zenzero e pepe nero.</t>
  </si>
  <si>
    <t xml:space="preserve">CCL001</t>
  </si>
  <si>
    <t xml:space="preserve">Americano</t>
  </si>
  <si>
    <t xml:space="preserve">Café americano</t>
  </si>
  <si>
    <t xml:space="preserve">Caffè americano</t>
  </si>
  <si>
    <t xml:space="preserve">Un shot de espresso suavizado con agua caliente.</t>
  </si>
  <si>
    <t xml:space="preserve">A shot of espresso lengthened with hot water.</t>
  </si>
  <si>
    <t xml:space="preserve">Uma dose de espresso suavizada com água quente.</t>
  </si>
  <si>
    <t xml:space="preserve">Un espresso allongé avec de l’eau chaude.</t>
  </si>
  <si>
    <t xml:space="preserve">Una dose di espresso allungata con acqua calda.</t>
  </si>
  <si>
    <t xml:space="preserve">CCL002</t>
  </si>
  <si>
    <t xml:space="preserve">Cortado</t>
  </si>
  <si>
    <t xml:space="preserve">Café cortado</t>
  </si>
  <si>
    <t xml:space="preserve">Caffè macchiato lungo</t>
  </si>
  <si>
    <t xml:space="preserve">Café espresso con un toque de leche caliente.</t>
  </si>
  <si>
    <t xml:space="preserve">Espresso with a small amount of hot milk.</t>
  </si>
  <si>
    <t xml:space="preserve">Espresso com um toque de leite quente.</t>
  </si>
  <si>
    <t xml:space="preserve">Espresso avec une petite touche de lait chaud.</t>
  </si>
  <si>
    <t xml:space="preserve">Espresso con una piccola quantità di latte caldo.</t>
  </si>
  <si>
    <t xml:space="preserve">CCL003</t>
  </si>
  <si>
    <t xml:space="preserve">Café con leche</t>
  </si>
  <si>
    <t xml:space="preserve">Café con Leche</t>
  </si>
  <si>
    <t xml:space="preserve">Café com leite</t>
  </si>
  <si>
    <t xml:space="preserve">Café au lait</t>
  </si>
  <si>
    <t xml:space="preserve">Caffellatte</t>
  </si>
  <si>
    <t xml:space="preserve">Mitad café y mitad leche caliente.</t>
  </si>
  <si>
    <t xml:space="preserve">Equal parts coffee and hot milk.</t>
  </si>
  <si>
    <t xml:space="preserve">Metade café e metade leite quente.</t>
  </si>
  <si>
    <t xml:space="preserve">Moitié café, moitié lait chaud.</t>
  </si>
  <si>
    <t xml:space="preserve">Metà caffè e metà latte caldo.</t>
  </si>
  <si>
    <t xml:space="preserve">CCL004</t>
  </si>
  <si>
    <t xml:space="preserve">Lágrima</t>
  </si>
  <si>
    <t xml:space="preserve">Lágrima Milk Coffee</t>
  </si>
  <si>
    <t xml:space="preserve">Café lágrima</t>
  </si>
  <si>
    <t xml:space="preserve">Caffè lágrima</t>
  </si>
  <si>
    <t xml:space="preserve">Leche caliente con apenas una lágrima de café.</t>
  </si>
  <si>
    <t xml:space="preserve">Hot milk with just a small dash of coffee.</t>
  </si>
  <si>
    <t xml:space="preserve">Leite quente com apenas um toque de café.</t>
  </si>
  <si>
    <t xml:space="preserve">Lait chaud avec une très légère touche de café.</t>
  </si>
  <si>
    <t xml:space="preserve">Latte caldo con appena un tocco di caffè.</t>
  </si>
  <si>
    <t xml:space="preserve">CCL005</t>
  </si>
  <si>
    <t xml:space="preserve">Macchiato</t>
  </si>
  <si>
    <t xml:space="preserve">Espresso coronado con una pequeña nube de espuma de leche.</t>
  </si>
  <si>
    <t xml:space="preserve">Espresso topped with a small cloud of milk foam.</t>
  </si>
  <si>
    <t xml:space="preserve">Espresso finalizado com uma pequena camada de espuma de leite.</t>
  </si>
  <si>
    <t xml:space="preserve">Espresso surmonté d’un léger nuage de mousse de lait.</t>
  </si>
  <si>
    <t xml:space="preserve">Espresso completato da una piccola nuvola di schiuma di latte.</t>
  </si>
  <si>
    <t xml:space="preserve">CCL006</t>
  </si>
  <si>
    <t xml:space="preserve">Cappuccino</t>
  </si>
  <si>
    <t xml:space="preserve">Café, leche caliente y espuma de leche en partes iguales.</t>
  </si>
  <si>
    <t xml:space="preserve">Equal parts coffee, hot milk and milk foam.</t>
  </si>
  <si>
    <t xml:space="preserve">Café, leite quente e espuma de leite em partes iguais.</t>
  </si>
  <si>
    <t xml:space="preserve">Café, lait chaud et mousse de lait en proportions égales.</t>
  </si>
  <si>
    <t xml:space="preserve">Caffè, latte caldo e schiuma di latte in parti uguali.</t>
  </si>
  <si>
    <t xml:space="preserve">CCL007</t>
  </si>
  <si>
    <t xml:space="preserve">Moca</t>
  </si>
  <si>
    <t xml:space="preserve">Mocha</t>
  </si>
  <si>
    <t xml:space="preserve">Moka</t>
  </si>
  <si>
    <t xml:space="preserve">Café con chocolate, leche caliente y espuma de leche.</t>
  </si>
  <si>
    <t xml:space="preserve">Coffee with chocolate, hot milk and milk foam.</t>
  </si>
  <si>
    <t xml:space="preserve">Café com chocolate, leite quente e espuma de leite.</t>
  </si>
  <si>
    <t xml:space="preserve">Café au chocolat, avec lait chaud et mousse de lait.</t>
  </si>
  <si>
    <t xml:space="preserve">Caffè con cioccolato, latte caldo e schiuma di latte.</t>
  </si>
  <si>
    <t xml:space="preserve">CFR001</t>
  </si>
  <si>
    <t xml:space="preserve">Cold brew</t>
  </si>
  <si>
    <t xml:space="preserve">Cold Brew Coffee</t>
  </si>
  <si>
    <t xml:space="preserve">Café cold brew</t>
  </si>
  <si>
    <t xml:space="preserve">Café infusionado lentamente en frío.</t>
  </si>
  <si>
    <t xml:space="preserve">Coffee slowly brewed in cold water.</t>
  </si>
  <si>
    <t xml:space="preserve">Café extraído lentamente a frio.</t>
  </si>
  <si>
    <t xml:space="preserve">Café infusé lentement à froid.</t>
  </si>
  <si>
    <t xml:space="preserve">Caffè estratto lentamente a freddo.</t>
  </si>
  <si>
    <t xml:space="preserve">CFR002</t>
  </si>
  <si>
    <t xml:space="preserve">Iced latte</t>
  </si>
  <si>
    <t xml:space="preserve">Iced Latte</t>
  </si>
  <si>
    <t xml:space="preserve">Latte glacé</t>
  </si>
  <si>
    <t xml:space="preserve">Un shot de espresso mezclado con leche fría y hielo.</t>
  </si>
  <si>
    <t xml:space="preserve">A shot of espresso mixed with cold milk and ice.</t>
  </si>
  <si>
    <t xml:space="preserve">Uma dose de espresso misturada com leite gelado e gelo.</t>
  </si>
  <si>
    <t xml:space="preserve">Un espresso mélangé à du lait froid et à des glaçons.</t>
  </si>
  <si>
    <t xml:space="preserve">Una dose di espresso miscelata con latte freddo e ghiaccio.</t>
  </si>
  <si>
    <t xml:space="preserve">CFR003</t>
  </si>
  <si>
    <t xml:space="preserve">Frappé de dulce de leche</t>
  </si>
  <si>
    <t xml:space="preserve">Dulce de Leche Coffee Frappé</t>
  </si>
  <si>
    <t xml:space="preserve">Frappé de café com doce de leite</t>
  </si>
  <si>
    <t xml:space="preserve">Café frappé au dulce de leche</t>
  </si>
  <si>
    <t xml:space="preserve">Frappè al caffè e dulce de leche</t>
  </si>
  <si>
    <t xml:space="preserve">Café batido con leche, hielo y dulce de leche.</t>
  </si>
  <si>
    <t xml:space="preserve">Blended coffee with milk, ice and dulce de leche.</t>
  </si>
  <si>
    <t xml:space="preserve">Café batido com leite, gelo e doce de leite.</t>
  </si>
  <si>
    <t xml:space="preserve">Café mixé avec du lait, des glaçons et du dulce de leche.</t>
  </si>
  <si>
    <t xml:space="preserve">Caffè frullato con latte, ghiaccio e dulce de leche.</t>
  </si>
  <si>
    <t xml:space="preserve">BYJ001</t>
  </si>
  <si>
    <t xml:space="preserve">Batido de banana</t>
  </si>
  <si>
    <t xml:space="preserve">Banana Smoothie</t>
  </si>
  <si>
    <t xml:space="preserve">Vitamina de banana</t>
  </si>
  <si>
    <t xml:space="preserve">Smoothie à la banane</t>
  </si>
  <si>
    <t xml:space="preserve">Frullato alla banana</t>
  </si>
  <si>
    <t xml:space="preserve">Batido cremoso de banana, disponible únicamente en vaso.</t>
  </si>
  <si>
    <t xml:space="preserve">A creamy banana smoothie, available by the glass only.</t>
  </si>
  <si>
    <t xml:space="preserve">Vitamina cremosa de banana, disponível somente em copo.</t>
  </si>
  <si>
    <t xml:space="preserve">Smoothie crémeux à la banane, disponible uniquement au verre.</t>
  </si>
  <si>
    <t xml:space="preserve">Frullato cremoso alla banana, disponibile solo al bicchiere.</t>
  </si>
  <si>
    <t xml:space="preserve">BYJ002</t>
  </si>
  <si>
    <t xml:space="preserve">Batido de frutos rojos</t>
  </si>
  <si>
    <t xml:space="preserve">Red Berry Smoothie</t>
  </si>
  <si>
    <t xml:space="preserve">Vitamina de frutas vermelhas</t>
  </si>
  <si>
    <t xml:space="preserve">Smoothie aux fruits rouges</t>
  </si>
  <si>
    <t xml:space="preserve">Frullato ai frutti rossi</t>
  </si>
  <si>
    <t xml:space="preserve">Frutos rojos combinados con jugo de naranja.</t>
  </si>
  <si>
    <t xml:space="preserve">Red berries blended with orange juice.</t>
  </si>
  <si>
    <t xml:space="preserve">Frutas vermelhas batidas com suco de laranja.</t>
  </si>
  <si>
    <t xml:space="preserve">Fruits rouges mixés avec du jus d’orange.</t>
  </si>
  <si>
    <t xml:space="preserve">Frutti rossi frullati con succo d’arancia.</t>
  </si>
  <si>
    <t xml:space="preserve">BYJ003</t>
  </si>
  <si>
    <t xml:space="preserve">Limonada detox</t>
  </si>
  <si>
    <t xml:space="preserve">Detox Lemonade</t>
  </si>
  <si>
    <t xml:space="preserve">Citronnade détox</t>
  </si>
  <si>
    <t xml:space="preserve">Limonata detox</t>
  </si>
  <si>
    <t xml:space="preserve">Agua, semillas de chía, jengibre, limón y menta.</t>
  </si>
  <si>
    <t xml:space="preserve">Water, chia seeds, ginger, lemon and mint.</t>
  </si>
  <si>
    <t xml:space="preserve">Água, sementes de chia, gengibre, limão e hortelã.</t>
  </si>
  <si>
    <t xml:space="preserve">Eau, graines de chia, gingembre, citron et menthe.</t>
  </si>
  <si>
    <t xml:space="preserve">Acqua, semi di chia, zenzero, limone e menta.</t>
  </si>
  <si>
    <t xml:space="preserve">BYJ004</t>
  </si>
  <si>
    <t xml:space="preserve">Limonada Jamaica</t>
  </si>
  <si>
    <t xml:space="preserve">Hibiscus Lemonade</t>
  </si>
  <si>
    <t xml:space="preserve">Limonada de hibisco</t>
  </si>
  <si>
    <t xml:space="preserve">Citronnade à l’hibiscus</t>
  </si>
  <si>
    <t xml:space="preserve">Limonata all’ibisco</t>
  </si>
  <si>
    <t xml:space="preserve">Agua, arándanos, hibisco y limón.</t>
  </si>
  <si>
    <t xml:space="preserve">Water, blueberries, hibiscus and lemon.</t>
  </si>
  <si>
    <t xml:space="preserve">Água, mirtilos, hibisco e limão.</t>
  </si>
  <si>
    <t xml:space="preserve">Eau, myrtilles, hibiscus et citron.</t>
  </si>
  <si>
    <t xml:space="preserve">Acqua, mirtilli, ibisco e limone.</t>
  </si>
  <si>
    <t xml:space="preserve">BYJ005</t>
  </si>
  <si>
    <t xml:space="preserve">Jugo de naranja</t>
  </si>
  <si>
    <t xml:space="preserve">Fresh Orange Juice</t>
  </si>
  <si>
    <t xml:space="preserve">Suco de laranja natural</t>
  </si>
  <si>
    <t xml:space="preserve">Jus d’orange pressé</t>
  </si>
  <si>
    <t xml:space="preserve">Spremuta d’arancia</t>
  </si>
  <si>
    <t xml:space="preserve">Jugo de naranja exprimido, disponible únicamente en vaso.</t>
  </si>
  <si>
    <t xml:space="preserve">Freshly squeezed orange juice, available by the glass only.</t>
  </si>
  <si>
    <t xml:space="preserve">Suco de laranja espremido na hora, disponível somente em copo.</t>
  </si>
  <si>
    <t xml:space="preserve">Jus d’orange fraîchement pressé, disponible uniquement au verre.</t>
  </si>
  <si>
    <t xml:space="preserve">Spremuta d’arancia fresca, disponibile solo al bicchiere.</t>
  </si>
  <si>
    <t xml:space="preserve">BYJ006</t>
  </si>
  <si>
    <t xml:space="preserve">Tropical</t>
  </si>
  <si>
    <t xml:space="preserve">Tropical Smoothie</t>
  </si>
  <si>
    <t xml:space="preserve">Smoothie tropical</t>
  </si>
  <si>
    <t xml:space="preserve">Frullato tropicale</t>
  </si>
  <si>
    <t xml:space="preserve">Mango, maracuyá, ananá y naranja.</t>
  </si>
  <si>
    <t xml:space="preserve">Mango, passion fruit, pineapple and orange.</t>
  </si>
  <si>
    <t xml:space="preserve">Manga, maracujá, abacaxi e laranja.</t>
  </si>
  <si>
    <t xml:space="preserve">Mangue, fruit de la passion, ananas et orange.</t>
  </si>
  <si>
    <t xml:space="preserve">Mango, frutto della passione, ananas e arancia.</t>
  </si>
  <si>
    <t xml:space="preserve">ADI001</t>
  </si>
  <si>
    <t xml:space="preserve">Leche vegetal</t>
  </si>
  <si>
    <t xml:space="preserve">Plant-Based Milk</t>
  </si>
  <si>
    <t xml:space="preserve">Bebida vegetal</t>
  </si>
  <si>
    <t xml:space="preserve">Boisson végétale</t>
  </si>
  <si>
    <t xml:space="preserve">Bevanda vegetale</t>
  </si>
  <si>
    <t xml:space="preserve">Opción para reemplazar la leche tradicional. Consultar las variedades disponibles.</t>
  </si>
  <si>
    <t xml:space="preserve">An alternative to dairy milk. Please ask which varieties are available.</t>
  </si>
  <si>
    <t xml:space="preserve">Opção para substituir o leite tradicional. Consulte as variedades disponíveis.</t>
  </si>
  <si>
    <t xml:space="preserve">Alternative au lait traditionnel. Merci de demander les variétés disponibles.</t>
  </si>
  <si>
    <t xml:space="preserve">Alternativa al latte tradizionale. Chiedere le varietà disponibili.</t>
  </si>
  <si>
    <t xml:space="preserve">ADI002</t>
  </si>
  <si>
    <t xml:space="preserve">Leche sin lactosa</t>
  </si>
  <si>
    <t xml:space="preserve">Lactose-Free Milk</t>
  </si>
  <si>
    <t xml:space="preserve">Leite sem lactose</t>
  </si>
  <si>
    <t xml:space="preserve">Lait sans lactose</t>
  </si>
  <si>
    <t xml:space="preserve">Latte senza lattosio</t>
  </si>
  <si>
    <t xml:space="preserve">Opción de leche sin lactosa para personalizar bebidas.</t>
  </si>
  <si>
    <t xml:space="preserve">Lactose-free milk available for customising drinks.</t>
  </si>
  <si>
    <t xml:space="preserve">Opção de leite sem lactose para personalizar bebidas.</t>
  </si>
  <si>
    <t xml:space="preserve">Option de lait sans lactose pour personnaliser les boissons.</t>
  </si>
  <si>
    <t xml:space="preserve">Opzione di latte senza lattosio per personalizzare le bevande.</t>
  </si>
  <si>
    <t xml:space="preserve">STC001</t>
  </si>
  <si>
    <t xml:space="preserve">Postres sin TACC</t>
  </si>
  <si>
    <t xml:space="preserve">Gluten-Free Desserts</t>
  </si>
  <si>
    <t xml:space="preserve">Sobremesas sem glúten</t>
  </si>
  <si>
    <t xml:space="preserve">Desserts sans gluten</t>
  </si>
  <si>
    <t xml:space="preserve">Dolci senza glutine</t>
  </si>
  <si>
    <t xml:space="preserve">Selección según disponibilidad: cheesecake, lemon pie o chocotorta. Producto tercerizado. Consultar disponibilidad y condiciones de manipulación antes de realizar el pedido.</t>
  </si>
  <si>
    <t xml:space="preserve">Selection subject to availability: cheesecake, lemon pie or chocotorta. Supplied by a third party. Please ask about availability and handling conditions before ordering.</t>
  </si>
  <si>
    <t xml:space="preserve">Seleção conforme disponibilidade: cheesecake, lemon pie ou chocotorta. Produto terceirizado. Consulte a disponibilidade e as condições de manipulação antes de fazer o pedido.</t>
  </si>
  <si>
    <t xml:space="preserve">Sélection selon disponibilité : cheesecake, tarte au citron ou chocotorta. Produit fourni par un tiers. Merci de vérifier la disponibilité et les conditions de manipulation avant de commander.</t>
  </si>
  <si>
    <t xml:space="preserve">Selezione secondo disponibilità: cheesecake, lemon pie o chocotorta. Prodotto fornito da terzi. Verificare disponibilità e condizioni di manipolazione prima di ordinare.</t>
  </si>
  <si>
    <t xml:space="preserve">STC002</t>
  </si>
  <si>
    <t xml:space="preserve">Pasta frola sin TACC</t>
  </si>
  <si>
    <t xml:space="preserve">Gluten-Free Quince Tart</t>
  </si>
  <si>
    <t xml:space="preserve">Pasta frola sem glúten</t>
  </si>
  <si>
    <t xml:space="preserve">Tarte à la pâte de coing sans gluten</t>
  </si>
  <si>
    <t xml:space="preserve">Crostata di mele cotogne senza glutine</t>
  </si>
  <si>
    <t xml:space="preserve">Tarta clásica rellena con dulce de membrillo. Producto tercerizado. Consultar disponibilidad y condiciones de manipulación antes de realizar el pedido.</t>
  </si>
  <si>
    <t xml:space="preserve">A classic tart filled with quince paste. Supplied by a third party. Please ask about availability and handling conditions before ordering.</t>
  </si>
  <si>
    <t xml:space="preserve">Torta clássica recheada com doce de marmelo. Produto terceirizado. Consulte a disponibilidade e as condições de manipulação antes de fazer o pedido.</t>
  </si>
  <si>
    <t xml:space="preserve">Tarte classique garnie de pâte de coing. Produit fourni par un tiers. Merci de vérifier la disponibilité et les conditions de manipulation avant de commander.</t>
  </si>
  <si>
    <t xml:space="preserve">Crostata classica farcita con confettura di mele cotogne. Prodotto fornito da terzi. Verificare disponibilità e condizioni di manipolazione prima di ordinare.</t>
  </si>
  <si>
    <t xml:space="preserve">STC003</t>
  </si>
  <si>
    <t xml:space="preserve">Tarta de coco y dulce de leche sin TACC</t>
  </si>
  <si>
    <t xml:space="preserve">Gluten-Free Coconut &amp; Dulce de Leche Tart</t>
  </si>
  <si>
    <t xml:space="preserve">Torta de coco e doce de leite sem glúten</t>
  </si>
  <si>
    <t xml:space="preserve">Tarte coco et dulce de leche sans gluten</t>
  </si>
  <si>
    <t xml:space="preserve">Torta al cocco e dulce de leche senza glutine</t>
  </si>
  <si>
    <t xml:space="preserve">Base de masa dulce, rellena con dulce de leche y cubierta de coco. Producto tercerizado. Consultar disponibilidad y condiciones de manipulación antes de realizar el pedido.</t>
  </si>
  <si>
    <t xml:space="preserve">A sweet pastry base filled with dulce de leche and topped with coconut. Supplied by a third party. Please ask about availability and handling conditions before ordering.</t>
  </si>
  <si>
    <t xml:space="preserve">Base de massa doce, recheada com doce de leite e coberta com coco. Produto terceirizado. Consulte a disponibilidade e as condições de manipulação antes de fazer o pedido.</t>
  </si>
  <si>
    <t xml:space="preserve">Fond de pâte sucrée garni de dulce de leche et recouvert de noix de coco. Produit fourni par un tiers. Merci de vérifier la disponibilité et les conditions de manipulation avant de commander.</t>
  </si>
  <si>
    <t xml:space="preserve">Base di pasta dolce farcita con dulce de leche e ricoperta di cocco. Prodotto fornito da terzi. Verificare disponibilità e condizioni di manipolazione prima di ordinare.</t>
  </si>
  <si>
    <t xml:space="preserve">STC004</t>
  </si>
  <si>
    <t xml:space="preserve">Alfacookie sin TACC</t>
  </si>
  <si>
    <t xml:space="preserve">Gluten-Free Alfacookie</t>
  </si>
  <si>
    <t xml:space="preserve">Alfacookie sem glúten</t>
  </si>
  <si>
    <t xml:space="preserve">Alfacookie sans gluten</t>
  </si>
  <si>
    <t xml:space="preserve">Alfacookie senza glutine</t>
  </si>
  <si>
    <t xml:space="preserve">Dos cookies rellenas con dulce de leche. Producto tercerizado. Consultar disponibilidad y condiciones de manipulación antes de realizar el pedido.</t>
  </si>
  <si>
    <t xml:space="preserve">Two cookies filled with dulce de leche. Supplied by a third party. Please ask about availability and handling conditions before ordering.</t>
  </si>
  <si>
    <t xml:space="preserve">Duas cookies recheadas com doce de leite. Produto terceirizado. Consulte a disponibilidade e as condições de manipulação antes de fazer o pedido.</t>
  </si>
  <si>
    <t xml:space="preserve">Deux cookies garnis de dulce de leche. Produit fourni par un tiers. Merci de vérifier la disponibilité et les conditions de manipulation avant de commander.</t>
  </si>
  <si>
    <t xml:space="preserve">Due cookies farciti con dulce de leche. Prodotto fornito da terzi. Verificare disponibilità e condizioni di manipolazione prima di ordinare.</t>
  </si>
  <si>
    <t xml:space="preserve">TYT001</t>
  </si>
  <si>
    <t xml:space="preserve">Torta Amelí</t>
  </si>
  <si>
    <t xml:space="preserve">Amelí Signature Cake</t>
  </si>
  <si>
    <t xml:space="preserve">Bolo assinatura Amelí</t>
  </si>
  <si>
    <t xml:space="preserve">Gâteau signature Amelí</t>
  </si>
  <si>
    <t xml:space="preserve">Torta firma Amelí</t>
  </si>
  <si>
    <t xml:space="preserve">Bizcochuelo de vainilla relleno con ganache de chocolate blanco, limón, nueces y leche condensada.</t>
  </si>
  <si>
    <t xml:space="preserve">Vanilla sponge layered with white chocolate ganache, lemon, walnuts and condensed milk.</t>
  </si>
  <si>
    <t xml:space="preserve">Pão de ló de baunilha recheado com ganache de chocolate branco, limão, nozes e leite condensado.</t>
  </si>
  <si>
    <t xml:space="preserve">Génoise à la vanille garnie de ganache au chocolat blanc, citron, noix et lait concentré.</t>
  </si>
  <si>
    <t xml:space="preserve">Pan di Spagna alla vaniglia farcito con ganache al cioccolato bianco, limone, noci e latte condensato.</t>
  </si>
  <si>
    <t xml:space="preserve">TYT002</t>
  </si>
  <si>
    <t xml:space="preserve">Marquise</t>
  </si>
  <si>
    <t xml:space="preserve">Chocolate Marquise Cake</t>
  </si>
  <si>
    <t xml:space="preserve">Bolo marquise de chocolate</t>
  </si>
  <si>
    <t xml:space="preserve">Gâteau marquise au chocolat</t>
  </si>
  <si>
    <t xml:space="preserve">Torta marquise al cioccolato</t>
  </si>
  <si>
    <t xml:space="preserve">Bizcochuelo de chocolate cubierto con dulce de leche, crema chantilly y frutos rojos.</t>
  </si>
  <si>
    <t xml:space="preserve">Chocolate sponge topped with dulce de leche, whipped cream and red berries.</t>
  </si>
  <si>
    <t xml:space="preserve">Pão de ló de chocolate coberto com doce de leite, chantilly e frutas vermelhas.</t>
  </si>
  <si>
    <t xml:space="preserve">Génoise au chocolat garnie de dulce de leche, de crème chantilly et de fruits rouges.</t>
  </si>
  <si>
    <t xml:space="preserve">Pan di Spagna al cioccolato ricoperto di dulce de leche, panna montata e frutti rossi.</t>
  </si>
  <si>
    <t xml:space="preserve">TYT003</t>
  </si>
  <si>
    <t xml:space="preserve">Cheesecake de frutos rojos</t>
  </si>
  <si>
    <t xml:space="preserve">Red Berry Cheesecake</t>
  </si>
  <si>
    <t xml:space="preserve">Cheesecake de frutas vermelhas</t>
  </si>
  <si>
    <t xml:space="preserve">Cheesecake aux fruits rouges</t>
  </si>
  <si>
    <t xml:space="preserve">Cheesecake ai frutti rossi</t>
  </si>
  <si>
    <t xml:space="preserve">Base de galletas crocantes, crema suave de queso y cobertura de salsa de frutos rojos.</t>
  </si>
  <si>
    <t xml:space="preserve">A crisp biscuit base with smooth cream cheese filling and red berry sauce.</t>
  </si>
  <si>
    <t xml:space="preserve">Base crocante de biscoitos, creme suave de queijo e cobertura de calda de frutas vermelhas.</t>
  </si>
  <si>
    <t xml:space="preserve">Base biscuitée croustillante, crème onctueuse au fromage et coulis de fruits rouges.</t>
  </si>
  <si>
    <t xml:space="preserve">Base croccante di biscotti, crema morbida al formaggio e salsa ai frutti rossi.</t>
  </si>
  <si>
    <t xml:space="preserve">TYT004</t>
  </si>
  <si>
    <t xml:space="preserve">Red velvet</t>
  </si>
  <si>
    <t xml:space="preserve">Red Velvet Cake</t>
  </si>
  <si>
    <t xml:space="preserve">Bolo red velvet</t>
  </si>
  <si>
    <t xml:space="preserve">Gâteau red velvet</t>
  </si>
  <si>
    <t xml:space="preserve">Torta red velvet</t>
  </si>
  <si>
    <t xml:space="preserve">Torta suave de cacao rojo, rellena y cubierta con crema de queso y frutillas.</t>
  </si>
  <si>
    <t xml:space="preserve">A soft red cocoa cake filled and covered with cream cheese frosting and strawberries.</t>
  </si>
  <si>
    <t xml:space="preserve">Bolo macio de cacau vermelho, recheado e coberto com creme de queijo e morangos.</t>
  </si>
  <si>
    <t xml:space="preserve">Gâteau moelleux au cacao rouge, garni et recouvert de crème au fromage et de fraises.</t>
  </si>
  <si>
    <t xml:space="preserve">Torta soffice al cacao rosso, farcita e ricoperta di crema al formaggio e fragole.</t>
  </si>
  <si>
    <t xml:space="preserve">TYT005</t>
  </si>
  <si>
    <t xml:space="preserve">Key lime pie</t>
  </si>
  <si>
    <t xml:space="preserve">Key Lime Pie</t>
  </si>
  <si>
    <t xml:space="preserve">Tarte au citron vert</t>
  </si>
  <si>
    <t xml:space="preserve">Tarta de lima con base crocante y crema suave.</t>
  </si>
  <si>
    <t xml:space="preserve">Lime tart with a crisp base and a smooth filling.</t>
  </si>
  <si>
    <t xml:space="preserve">Torta de lima com base crocante e recheio cremoso.</t>
  </si>
  <si>
    <t xml:space="preserve">Tarte au citron vert sur une base croustillante, avec une garniture onctueuse.</t>
  </si>
  <si>
    <t xml:space="preserve">Torta al lime con base croccante e crema vellutata.</t>
  </si>
  <si>
    <t xml:space="preserve">TYT006</t>
  </si>
  <si>
    <t xml:space="preserve">Sablée de almendras</t>
  </si>
  <si>
    <t xml:space="preserve">Almond Sablée Cake</t>
  </si>
  <si>
    <t xml:space="preserve">Sablée de amêndoas</t>
  </si>
  <si>
    <t xml:space="preserve">Sablé aux amandes</t>
  </si>
  <si>
    <t xml:space="preserve">Sablé alle mandorle</t>
  </si>
  <si>
    <t xml:space="preserve">Mini torta de dos capas crocantes de almendras tostadas, con dulce de leche, crema y frutillas.</t>
  </si>
  <si>
    <t xml:space="preserve">A mini cake with two crisp toasted-almond layers, dulce de leche, cream and strawberries.</t>
  </si>
  <si>
    <t xml:space="preserve">Mini bolo com duas camadas crocantes de amêndoas tostadas, doce de leite, creme e morangos.</t>
  </si>
  <si>
    <t xml:space="preserve">Mini-gâteau composé de deux couches croustillantes aux amandes grillées, avec dulce de leche, crème et fraises.</t>
  </si>
  <si>
    <t xml:space="preserve">Mini torta con due strati croccanti alle mandorle tostate, dulce de leche, crema e fragole.</t>
  </si>
  <si>
    <t xml:space="preserve">TYT007</t>
  </si>
  <si>
    <t xml:space="preserve">Franuí del bosque</t>
  </si>
  <si>
    <t xml:space="preserve">Forest Franuí Brownie</t>
  </si>
  <si>
    <t xml:space="preserve">Brownie franuí do bosque</t>
  </si>
  <si>
    <t xml:space="preserve">Brownie franuí des bois</t>
  </si>
  <si>
    <t xml:space="preserve">Brownie franuí del bosco</t>
  </si>
  <si>
    <t xml:space="preserve">Brownie con dulce de leche, ganache de chocolate blanco y negro, dulce de frambuesa y frambuesas caseras bañadas en chocolate.</t>
  </si>
  <si>
    <t xml:space="preserve">Brownie with dulce de leche, white and dark chocolate ganache, raspberry preserve and house-made chocolate-coated raspberries.</t>
  </si>
  <si>
    <t xml:space="preserve">Brownie com doce de leite, ganache de chocolate branco e amargo, doce de framboesa e framboesas artesanais cobertas com chocolate.</t>
  </si>
  <si>
    <t xml:space="preserve">Brownie au dulce de leche, ganaches au chocolat blanc et noir, confiture de framboise et framboises maison enrobées de chocolat.</t>
  </si>
  <si>
    <t xml:space="preserve">Brownie con dulce de leche, ganache al cioccolato bianco e fondente, confettura di lamponi e lamponi artigianali ricoperti di cioccolato.</t>
  </si>
  <si>
    <t xml:space="preserve">SAT001</t>
  </si>
  <si>
    <t xml:space="preserve">Bagel</t>
  </si>
  <si>
    <t xml:space="preserve">Breakfast Bagel</t>
  </si>
  <si>
    <t xml:space="preserve">Bagel de café da manhã</t>
  </si>
  <si>
    <t xml:space="preserve">Bagel gourmand</t>
  </si>
  <si>
    <t xml:space="preserve">Bagel farcito</t>
  </si>
  <si>
    <t xml:space="preserve">Bagel con tomate, panceta, crema de palta, queso y huevo.</t>
  </si>
  <si>
    <t xml:space="preserve">Bagel filled with tomato, bacon, avocado cream, cheese and egg.</t>
  </si>
  <si>
    <t xml:space="preserve">Bagel recheado com tomate, bacon, creme de abacate, queijo e ovo.</t>
  </si>
  <si>
    <t xml:space="preserve">Bagel garni de tomate, bacon, crème d’avocat, fromage et œuf.</t>
  </si>
  <si>
    <t xml:space="preserve">Bagel farcito con pomodoro, bacon, crema di avocado, formaggio e uovo.</t>
  </si>
  <si>
    <t xml:space="preserve">SAT002</t>
  </si>
  <si>
    <t xml:space="preserve">Tostado de jamón y queso</t>
  </si>
  <si>
    <t xml:space="preserve">Ham &amp; Cheese Toastie</t>
  </si>
  <si>
    <t xml:space="preserve">Tostado de presunto e queijo</t>
  </si>
  <si>
    <t xml:space="preserve">Croque jambon-fromage</t>
  </si>
  <si>
    <t xml:space="preserve">Toast prosciutto e formaggio</t>
  </si>
  <si>
    <t xml:space="preserve">Pan de campo tostado con jamón cocido y queso.</t>
  </si>
  <si>
    <t xml:space="preserve">Toasted country-style bread with cooked ham and cheese.</t>
  </si>
  <si>
    <t xml:space="preserve">Pão rústico tostado com presunto cozido e queijo.</t>
  </si>
  <si>
    <t xml:space="preserve">Pain de campagne toasté garni de jambon blanc et de fromage.</t>
  </si>
  <si>
    <t xml:space="preserve">Pane casereccio tostato con prosciutto cotto e formaggio.</t>
  </si>
  <si>
    <t xml:space="preserve">SAT003</t>
  </si>
  <si>
    <t xml:space="preserve">Tostón Amelí</t>
  </si>
  <si>
    <t xml:space="preserve">Amelí Open Toast</t>
  </si>
  <si>
    <t xml:space="preserve">Tostada aberta Amelí</t>
  </si>
  <si>
    <t xml:space="preserve">Tartine Amelí</t>
  </si>
  <si>
    <t xml:space="preserve">Bruschetta Amelí</t>
  </si>
  <si>
    <t xml:space="preserve">Pan de campo con crema de queso azul, peras frescas caramelizadas, nueces y un toque de miel.</t>
  </si>
  <si>
    <t xml:space="preserve">Country-style bread topped with blue cheese cream, caramelised fresh pears, walnuts and a touch of honey.</t>
  </si>
  <si>
    <t xml:space="preserve">Pão rústico com creme de queijo azul, peras frescas caramelizadas, nozes e um toque de mel.</t>
  </si>
  <si>
    <t xml:space="preserve">Pain de campagne garni de crème au bleu, de poires fraîches caramélisées, de noix et d’une touche de miel.</t>
  </si>
  <si>
    <t xml:space="preserve">Pane casereccio con crema al formaggio blu, pere fresche caramellate, noci e un tocco di miele.</t>
  </si>
  <si>
    <t xml:space="preserve">SAT004</t>
  </si>
  <si>
    <t xml:space="preserve">Tostón de palta y huevo</t>
  </si>
  <si>
    <t xml:space="preserve">Avocado &amp; Egg Open Toast</t>
  </si>
  <si>
    <t xml:space="preserve">Tostada aberta de abacate e ovo</t>
  </si>
  <si>
    <t xml:space="preserve">Tartine avocat &amp; œuf</t>
  </si>
  <si>
    <t xml:space="preserve">Bruschetta avocado &amp; uovo</t>
  </si>
  <si>
    <t xml:space="preserve">Pan de campo tostado con queso crema, queso danbo, palta, huevo y mix de semillas.</t>
  </si>
  <si>
    <t xml:space="preserve">Toasted country-style bread with cream cheese, Danbo cheese, avocado, egg and mixed seeds.</t>
  </si>
  <si>
    <t xml:space="preserve">Pão rústico tostado com cream cheese, queijo danbo, abacate, ovo e mix de sementes.</t>
  </si>
  <si>
    <t xml:space="preserve">Pain de campagne toasté avec fromage frais, fromage danbo, avocat, œuf et mélange de graines.</t>
  </si>
  <si>
    <t xml:space="preserve">Pane casereccio tostato con formaggio spalmabile, formaggio danbo, avocado, uovo e mix di semi.</t>
  </si>
  <si>
    <t xml:space="preserve">SAT005</t>
  </si>
  <si>
    <t xml:space="preserve">Pistachero</t>
  </si>
  <si>
    <t xml:space="preserve">Pistachio Mortadella Sandwich</t>
  </si>
  <si>
    <t xml:space="preserve">Sanduíche de mortadela e pistache</t>
  </si>
  <si>
    <t xml:space="preserve">Sandwich mortadelle &amp; pistache</t>
  </si>
  <si>
    <t xml:space="preserve">Panino mortadella &amp; pistacchio</t>
  </si>
  <si>
    <t xml:space="preserve">Sándwich de mortadela, queso, manteca especiada, pistacho y queso gratinado.</t>
  </si>
  <si>
    <t xml:space="preserve">A sandwich with mortadella, cheese, spiced butter, pistachios and melted cheese.</t>
  </si>
  <si>
    <t xml:space="preserve">Sanduíche com mortadela, queijo, manteiga temperada, pistache e queijo gratinado.</t>
  </si>
  <si>
    <t xml:space="preserve">Sandwich à la mortadelle, au fromage, au beurre épicé, aux pistaches et au fromage gratiné.</t>
  </si>
  <si>
    <t xml:space="preserve">Panino con mortadella, formaggio, burro speziato, pistacchi e formaggio gratinato.</t>
  </si>
  <si>
    <t xml:space="preserve">Productos MASTER · Fuente única del menú</t>
  </si>
  <si>
    <t xml:space="preserve">Gobierna el orden, estado y señalización comercial de cada producto. «Más vendido» debe completarse únicamente con datos reales.</t>
  </si>
  <si>
    <t xml:space="preserve">SKU</t>
  </si>
  <si>
    <t xml:space="preserve">Grupo principal</t>
  </si>
  <si>
    <t xml:space="preserve">Código categoría</t>
  </si>
  <si>
    <t xml:space="preserve">Orden categoría</t>
  </si>
  <si>
    <t xml:space="preserve">Orden producto</t>
  </si>
  <si>
    <t xml:space="preserve">Orden global</t>
  </si>
  <si>
    <t xml:space="preserve">Página fuente</t>
  </si>
  <si>
    <t xml:space="preserve">Producto activo</t>
  </si>
  <si>
    <t xml:space="preserve">Destacado editorial</t>
  </si>
  <si>
    <t xml:space="preserve">Recomendado</t>
  </si>
  <si>
    <t xml:space="preserve">Más vendido</t>
  </si>
  <si>
    <t xml:space="preserve">Nuevo</t>
  </si>
  <si>
    <t xml:space="preserve">Edición limitada</t>
  </si>
  <si>
    <t xml:space="preserve">Etiqueta inicial</t>
  </si>
  <si>
    <t xml:space="preserve">Observaciones</t>
  </si>
  <si>
    <t xml:space="preserve">Desayunos &amp; Brunch</t>
  </si>
  <si>
    <t xml:space="preserve">DYM</t>
  </si>
  <si>
    <t xml:space="preserve">Sí</t>
  </si>
  <si>
    <t xml:space="preserve">No</t>
  </si>
  <si>
    <t xml:space="preserve">Recomendado Amelí</t>
  </si>
  <si>
    <t xml:space="preserve">Identidad mendocina</t>
  </si>
  <si>
    <t xml:space="preserve">Opción equilibrada</t>
  </si>
  <si>
    <t xml:space="preserve">DEL</t>
  </si>
  <si>
    <t xml:space="preserve">Confirmar receta y acompañamientos.</t>
  </si>
  <si>
    <t xml:space="preserve">Los ingredientes varían según el sabor.</t>
  </si>
  <si>
    <t xml:space="preserve">Especialidad regional</t>
  </si>
  <si>
    <t xml:space="preserve">Confirmar ingredientes, toppings y base líquida.</t>
  </si>
  <si>
    <t xml:space="preserve">Té &amp; Infusiones</t>
  </si>
  <si>
    <t xml:space="preserve">TEH</t>
  </si>
  <si>
    <t xml:space="preserve">TIS</t>
  </si>
  <si>
    <t xml:space="preserve">BLE</t>
  </si>
  <si>
    <t xml:space="preserve">Blend de la casa</t>
  </si>
  <si>
    <t xml:space="preserve">ESP</t>
  </si>
  <si>
    <t xml:space="preserve">Especialidad Amelí</t>
  </si>
  <si>
    <t xml:space="preserve">Cafetería</t>
  </si>
  <si>
    <t xml:space="preserve">CCL</t>
  </si>
  <si>
    <t xml:space="preserve">CFR</t>
  </si>
  <si>
    <t xml:space="preserve">Favorito dulce</t>
  </si>
  <si>
    <t xml:space="preserve">Bebidas Frías</t>
  </si>
  <si>
    <t xml:space="preserve">BYJ</t>
  </si>
  <si>
    <t xml:space="preserve">Confirmar si la base contiene leche.</t>
  </si>
  <si>
    <t xml:space="preserve">Personalización</t>
  </si>
  <si>
    <t xml:space="preserve">ADI</t>
  </si>
  <si>
    <t xml:space="preserve">STC</t>
  </si>
  <si>
    <t xml:space="preserve">Validar certificación, proveedor y riesgo de contaminación cruzada.</t>
  </si>
  <si>
    <t xml:space="preserve">Pastelería</t>
  </si>
  <si>
    <t xml:space="preserve">TYT</t>
  </si>
  <si>
    <t xml:space="preserve">Producto insignia</t>
  </si>
  <si>
    <t xml:space="preserve">Creación de la casa</t>
  </si>
  <si>
    <t xml:space="preserve">Salados</t>
  </si>
  <si>
    <t xml:space="preserve">SAT</t>
  </si>
  <si>
    <t xml:space="preserve">Firma Amelí</t>
  </si>
  <si>
    <t xml:space="preserve">Especialidad salada</t>
  </si>
  <si>
    <t xml:space="preserve">Arquitectura de categorías · Jerarquía multilingüe</t>
  </si>
  <si>
    <t xml:space="preserve">La columna «Orden» controla la navegación del menú mobile-first. Los grupos permiten mostrar una portada breve sin perder profundidad.</t>
  </si>
  <si>
    <t xml:space="preserve">Código</t>
  </si>
  <si>
    <t xml:space="preserve">Grupo ES</t>
  </si>
  <si>
    <t xml:space="preserve">Grupo EN</t>
  </si>
  <si>
    <t xml:space="preserve">Grupo PT</t>
  </si>
  <si>
    <t xml:space="preserve">Grupo FR</t>
  </si>
  <si>
    <t xml:space="preserve">Grupo IT</t>
  </si>
  <si>
    <t xml:space="preserve">Categoría ES</t>
  </si>
  <si>
    <t xml:space="preserve">Categoría EN</t>
  </si>
  <si>
    <t xml:space="preserve">Categoría PT</t>
  </si>
  <si>
    <t xml:space="preserve">Categoría FR</t>
  </si>
  <si>
    <t xml:space="preserve">Categoría IT</t>
  </si>
  <si>
    <t xml:space="preserve">Cantidad de productos</t>
  </si>
  <si>
    <t xml:space="preserve">Visible</t>
  </si>
  <si>
    <t xml:space="preserve">Breakfast &amp; Brunch</t>
  </si>
  <si>
    <t xml:space="preserve">Café da manhã &amp; brunch</t>
  </si>
  <si>
    <t xml:space="preserve">Petit-déjeuner &amp; brunch</t>
  </si>
  <si>
    <t xml:space="preserve">Colazione &amp; brunch</t>
  </si>
  <si>
    <t xml:space="preserve">Breakfast &amp; Afternoon Tea</t>
  </si>
  <si>
    <t xml:space="preserve">Café da manhã &amp; lanche da tarde</t>
  </si>
  <si>
    <t xml:space="preserve">Petit-déjeuner &amp; goûter</t>
  </si>
  <si>
    <t xml:space="preserve">Colazione &amp; merenda</t>
  </si>
  <si>
    <t xml:space="preserve">Bakery &amp; Light Bites</t>
  </si>
  <si>
    <t xml:space="preserve">Delícias &amp; lanches leves</t>
  </si>
  <si>
    <t xml:space="preserve">Douceurs &amp; petites bouchées</t>
  </si>
  <si>
    <t xml:space="preserve">Delizie &amp; spuntini</t>
  </si>
  <si>
    <t xml:space="preserve">Tea &amp; Infusions</t>
  </si>
  <si>
    <t xml:space="preserve">Chás &amp; infusões</t>
  </si>
  <si>
    <t xml:space="preserve">Thés &amp; infusions</t>
  </si>
  <si>
    <t xml:space="preserve">Tè &amp; infusi</t>
  </si>
  <si>
    <t xml:space="preserve">Loose-Leaf Tea</t>
  </si>
  <si>
    <t xml:space="preserve">Chás de folhas soltas</t>
  </si>
  <si>
    <t xml:space="preserve">Thés en feuilles</t>
  </si>
  <si>
    <t xml:space="preserve">Tè in foglia</t>
  </si>
  <si>
    <t xml:space="preserve">Herbal Infusions</t>
  </si>
  <si>
    <t xml:space="preserve">Infusões de ervas</t>
  </si>
  <si>
    <t xml:space="preserve">Tisanes</t>
  </si>
  <si>
    <t xml:space="preserve">Tisane</t>
  </si>
  <si>
    <t xml:space="preserve">Signature Tea Blends</t>
  </si>
  <si>
    <t xml:space="preserve">Blends autorais</t>
  </si>
  <si>
    <t xml:space="preserve">Mélanges signature</t>
  </si>
  <si>
    <t xml:space="preserve">Miscele d’autore</t>
  </si>
  <si>
    <t xml:space="preserve">Hot Specialities</t>
  </si>
  <si>
    <t xml:space="preserve">Especialidades quentes</t>
  </si>
  <si>
    <t xml:space="preserve">Spécialités chaudes</t>
  </si>
  <si>
    <t xml:space="preserve">Specialità calde</t>
  </si>
  <si>
    <t xml:space="preserve">Coffee</t>
  </si>
  <si>
    <t xml:space="preserve">Cafeteria</t>
  </si>
  <si>
    <t xml:space="preserve">Café</t>
  </si>
  <si>
    <t xml:space="preserve">Caffetteria</t>
  </si>
  <si>
    <t xml:space="preserve">Classic Coffee</t>
  </si>
  <si>
    <t xml:space="preserve">Cafés clássicos</t>
  </si>
  <si>
    <t xml:space="preserve">Cafés classiques</t>
  </si>
  <si>
    <t xml:space="preserve">Caffè classici</t>
  </si>
  <si>
    <t xml:space="preserve">Iced Coffee</t>
  </si>
  <si>
    <t xml:space="preserve">Cafés gelados</t>
  </si>
  <si>
    <t xml:space="preserve">Cafés glacés</t>
  </si>
  <si>
    <t xml:space="preserve">Caffè freddi</t>
  </si>
  <si>
    <t xml:space="preserve">Cold Drinks</t>
  </si>
  <si>
    <t xml:space="preserve">Bebidas frias</t>
  </si>
  <si>
    <t xml:space="preserve">Boissons fraîches</t>
  </si>
  <si>
    <t xml:space="preserve">Bevande fredde</t>
  </si>
  <si>
    <t xml:space="preserve">Smoothies &amp; Juices</t>
  </si>
  <si>
    <t xml:space="preserve">Vitaminas &amp; sucos</t>
  </si>
  <si>
    <t xml:space="preserve">Smoothies &amp; jus</t>
  </si>
  <si>
    <t xml:space="preserve">Frullati &amp; succhi</t>
  </si>
  <si>
    <t xml:space="preserve">Customisation</t>
  </si>
  <si>
    <t xml:space="preserve">Personalização</t>
  </si>
  <si>
    <t xml:space="preserve">Personnalisation</t>
  </si>
  <si>
    <t xml:space="preserve">Personalizzazione</t>
  </si>
  <si>
    <t xml:space="preserve">Milk Options</t>
  </si>
  <si>
    <t xml:space="preserve">Opções de leite</t>
  </si>
  <si>
    <t xml:space="preserve">Options de lait</t>
  </si>
  <si>
    <t xml:space="preserve">Opzioni latte</t>
  </si>
  <si>
    <t xml:space="preserve">Gluten-Free</t>
  </si>
  <si>
    <t xml:space="preserve">Sem glúten</t>
  </si>
  <si>
    <t xml:space="preserve">Sans gluten</t>
  </si>
  <si>
    <t xml:space="preserve">Senza glutine</t>
  </si>
  <si>
    <t xml:space="preserve">Gluten-Free Selection</t>
  </si>
  <si>
    <t xml:space="preserve">Seleção sem glúten</t>
  </si>
  <si>
    <t xml:space="preserve">Sélection sans gluten</t>
  </si>
  <si>
    <t xml:space="preserve">Selezione senza glutine</t>
  </si>
  <si>
    <t xml:space="preserve">Cakes &amp; Pastries</t>
  </si>
  <si>
    <t xml:space="preserve">Bolos &amp; tortas</t>
  </si>
  <si>
    <t xml:space="preserve">Gâteaux &amp; tartes</t>
  </si>
  <si>
    <t xml:space="preserve">Torte &amp; dolci</t>
  </si>
  <si>
    <t xml:space="preserve">Cakes &amp; Tarts</t>
  </si>
  <si>
    <t xml:space="preserve">Torte &amp; crostate</t>
  </si>
  <si>
    <t xml:space="preserve">Savoury</t>
  </si>
  <si>
    <t xml:space="preserve">Salgados</t>
  </si>
  <si>
    <t xml:space="preserve">Salé</t>
  </si>
  <si>
    <t xml:space="preserve">Salati</t>
  </si>
  <si>
    <t xml:space="preserve">Sandwiches &amp; Open Toasts</t>
  </si>
  <si>
    <t xml:space="preserve">Sanduíches &amp; tostadas</t>
  </si>
  <si>
    <t xml:space="preserve">Sandwichs &amp; tartines</t>
  </si>
  <si>
    <t xml:space="preserve">Panini &amp; bruschette</t>
  </si>
  <si>
    <t xml:space="preserve">Precios y rentabilidad básica</t>
  </si>
  <si>
    <t xml:space="preserve">Completar únicamente las celdas crema. El precio en USD, el margen bruto y el estado de carga se calculan automáticamente.</t>
  </si>
  <si>
    <t xml:space="preserve">Producto ES-AR</t>
  </si>
  <si>
    <t xml:space="preserve">Moneda</t>
  </si>
  <si>
    <t xml:space="preserve">Precio local</t>
  </si>
  <si>
    <t xml:space="preserve">Precio delivery</t>
  </si>
  <si>
    <t xml:space="preserve">Precio promocional</t>
  </si>
  <si>
    <t xml:space="preserve">Precio de referencia USD</t>
  </si>
  <si>
    <t xml:space="preserve">Costo unitario</t>
  </si>
  <si>
    <t xml:space="preserve">Margen bruto</t>
  </si>
  <si>
    <t xml:space="preserve">Margen bruto %</t>
  </si>
  <si>
    <t xml:space="preserve">IVA incluido</t>
  </si>
  <si>
    <t xml:space="preserve">Fecha actualización</t>
  </si>
  <si>
    <t xml:space="preserve">Estado de carga</t>
  </si>
  <si>
    <t xml:space="preserve">ARS</t>
  </si>
  <si>
    <t xml:space="preserve">Información gastronómica y operativa</t>
  </si>
  <si>
    <t xml:space="preserve">Los campos «Verificar» deben validarse con cocina y proveedores antes de publicar o automatizar el menú.</t>
  </si>
  <si>
    <t xml:space="preserve">Tipo</t>
  </si>
  <si>
    <t xml:space="preserve">Temperatura</t>
  </si>
  <si>
    <t xml:space="preserve">Formato de servicio</t>
  </si>
  <si>
    <t xml:space="preserve">Porciones</t>
  </si>
  <si>
    <t xml:space="preserve">Tiempo de preparación (min)</t>
  </si>
  <si>
    <t xml:space="preserve">Origen</t>
  </si>
  <si>
    <t xml:space="preserve">Elaboración propia</t>
  </si>
  <si>
    <t xml:space="preserve">Producto tercerizado</t>
  </si>
  <si>
    <t xml:space="preserve">Disponible para llevar</t>
  </si>
  <si>
    <t xml:space="preserve">Notas operativas</t>
  </si>
  <si>
    <t xml:space="preserve">Combo de desayuno</t>
  </si>
  <si>
    <t xml:space="preserve">Mixta</t>
  </si>
  <si>
    <t xml:space="preserve">Porción individual</t>
  </si>
  <si>
    <t xml:space="preserve">Verificar</t>
  </si>
  <si>
    <t xml:space="preserve">Combo de desayuno regional</t>
  </si>
  <si>
    <t xml:space="preserve">Mendoza, Argentina</t>
  </si>
  <si>
    <t xml:space="preserve">Plato ligero</t>
  </si>
  <si>
    <t xml:space="preserve">Caliente</t>
  </si>
  <si>
    <t xml:space="preserve">Fría</t>
  </si>
  <si>
    <t xml:space="preserve">Panificado salado</t>
  </si>
  <si>
    <t xml:space="preserve">Caliente/Ambiente</t>
  </si>
  <si>
    <t xml:space="preserve">Unidad o porción</t>
  </si>
  <si>
    <t xml:space="preserve">Región guaraní / Argentina</t>
  </si>
  <si>
    <t xml:space="preserve">Panificado dulce</t>
  </si>
  <si>
    <t xml:space="preserve">Argentina</t>
  </si>
  <si>
    <t xml:space="preserve">Pastelería individual</t>
  </si>
  <si>
    <t xml:space="preserve">Ambiente</t>
  </si>
  <si>
    <t xml:space="preserve">Unidad</t>
  </si>
  <si>
    <t xml:space="preserve">Panificado regional</t>
  </si>
  <si>
    <t xml:space="preserve">Infusión</t>
  </si>
  <si>
    <t xml:space="preserve">Tetera o taza</t>
  </si>
  <si>
    <t xml:space="preserve">Tisana</t>
  </si>
  <si>
    <t xml:space="preserve">Blend de té</t>
  </si>
  <si>
    <t xml:space="preserve">Bebida caliente</t>
  </si>
  <si>
    <t xml:space="preserve">Taza o vaso</t>
  </si>
  <si>
    <t xml:space="preserve">Taza</t>
  </si>
  <si>
    <t xml:space="preserve">Bebida con café</t>
  </si>
  <si>
    <t xml:space="preserve">Café con chocolate</t>
  </si>
  <si>
    <t xml:space="preserve">Café frío</t>
  </si>
  <si>
    <t xml:space="preserve">Vaso</t>
  </si>
  <si>
    <t xml:space="preserve">Café frío con leche</t>
  </si>
  <si>
    <t xml:space="preserve">Batido</t>
  </si>
  <si>
    <t xml:space="preserve">Vaso o jarra</t>
  </si>
  <si>
    <t xml:space="preserve">Limonada</t>
  </si>
  <si>
    <t xml:space="preserve">Jugo</t>
  </si>
  <si>
    <t xml:space="preserve">Adicional</t>
  </si>
  <si>
    <t xml:space="preserve">Según bebida</t>
  </si>
  <si>
    <t xml:space="preserve">Postre</t>
  </si>
  <si>
    <t xml:space="preserve">Tarta</t>
  </si>
  <si>
    <t xml:space="preserve">Fría/Ambiente</t>
  </si>
  <si>
    <t xml:space="preserve">Torta</t>
  </si>
  <si>
    <t xml:space="preserve">Porción</t>
  </si>
  <si>
    <t xml:space="preserve">Mini torta</t>
  </si>
  <si>
    <t xml:space="preserve">Torta/Brownie</t>
  </si>
  <si>
    <t xml:space="preserve">Sándwich</t>
  </si>
  <si>
    <t xml:space="preserve">Sándwich tostado</t>
  </si>
  <si>
    <t xml:space="preserve">Tostón</t>
  </si>
  <si>
    <t xml:space="preserve">Ingredientes declarados · Matriz preliminar</t>
  </si>
  <si>
    <t xml:space="preserve">La información surge del menú original y de descripciones editoriales. Debe cruzarse con recetas, fichas técnicas y etiquetas antes de utilizarse para alérgenos.</t>
  </si>
  <si>
    <t xml:space="preserve">Ingrediente 1</t>
  </si>
  <si>
    <t xml:space="preserve">Ingrediente 2</t>
  </si>
  <si>
    <t xml:space="preserve">Ingrediente 3</t>
  </si>
  <si>
    <t xml:space="preserve">Ingrediente 4</t>
  </si>
  <si>
    <t xml:space="preserve">Ingrediente 5</t>
  </si>
  <si>
    <t xml:space="preserve">Ingrediente 6</t>
  </si>
  <si>
    <t xml:space="preserve">Ingrediente 7</t>
  </si>
  <si>
    <t xml:space="preserve">Ingrediente 8</t>
  </si>
  <si>
    <t xml:space="preserve">Ingrediente 9</t>
  </si>
  <si>
    <t xml:space="preserve">Ingrediente 10</t>
  </si>
  <si>
    <t xml:space="preserve">Ingrediente 11</t>
  </si>
  <si>
    <t xml:space="preserve">Ingrediente 12</t>
  </si>
  <si>
    <t xml:space="preserve">Estado de revisión</t>
  </si>
  <si>
    <t xml:space="preserve">Huevos</t>
  </si>
  <si>
    <t xml:space="preserve">Palta</t>
  </si>
  <si>
    <t xml:space="preserve">Pan tostado</t>
  </si>
  <si>
    <t xml:space="preserve">Queso crema</t>
  </si>
  <si>
    <t xml:space="preserve">Café o té</t>
  </si>
  <si>
    <t xml:space="preserve">Pendiente de validación</t>
  </si>
  <si>
    <t xml:space="preserve">Mermelada</t>
  </si>
  <si>
    <t xml:space="preserve">Yogur</t>
  </si>
  <si>
    <t xml:space="preserve">Frutas de estación</t>
  </si>
  <si>
    <t xml:space="preserve">Granola</t>
  </si>
  <si>
    <t xml:space="preserve">Frutos secos</t>
  </si>
  <si>
    <t xml:space="preserve">Miel</t>
  </si>
  <si>
    <t xml:space="preserve">Coco</t>
  </si>
  <si>
    <t xml:space="preserve">Acompañamientos a confirmar</t>
  </si>
  <si>
    <t xml:space="preserve">Almidón de mandioca</t>
  </si>
  <si>
    <t xml:space="preserve">Queso</t>
  </si>
  <si>
    <t xml:space="preserve">Leche o materia grasa a verificar</t>
  </si>
  <si>
    <t xml:space="preserve">Harina de trigo</t>
  </si>
  <si>
    <t xml:space="preserve">Materia grasa</t>
  </si>
  <si>
    <t xml:space="preserve">Azúcar</t>
  </si>
  <si>
    <t xml:space="preserve">Levadura</t>
  </si>
  <si>
    <t xml:space="preserve">Huevos o leche a verificar</t>
  </si>
  <si>
    <t xml:space="preserve">Harina</t>
  </si>
  <si>
    <t xml:space="preserve">Sabores a confirmar</t>
  </si>
  <si>
    <t xml:space="preserve">Agua</t>
  </si>
  <si>
    <t xml:space="preserve">Sal</t>
  </si>
  <si>
    <t xml:space="preserve">Frutas</t>
  </si>
  <si>
    <t xml:space="preserve">Toppings a confirmar</t>
  </si>
  <si>
    <t xml:space="preserve">Té negro, pu-erh o verde</t>
  </si>
  <si>
    <t xml:space="preserve">Cedrón</t>
  </si>
  <si>
    <t xml:space="preserve">Lavanda</t>
  </si>
  <si>
    <t xml:space="preserve">Manzanilla</t>
  </si>
  <si>
    <t xml:space="preserve">Melisa</t>
  </si>
  <si>
    <t xml:space="preserve">Limón</t>
  </si>
  <si>
    <t xml:space="preserve">Menta</t>
  </si>
  <si>
    <t xml:space="preserve">Salvia blanca</t>
  </si>
  <si>
    <t xml:space="preserve">Té negro</t>
  </si>
  <si>
    <t xml:space="preserve">Cacao</t>
  </si>
  <si>
    <t xml:space="preserve">Naranja</t>
  </si>
  <si>
    <t xml:space="preserve">Té verde</t>
  </si>
  <si>
    <t xml:space="preserve">Jengibre</t>
  </si>
  <si>
    <t xml:space="preserve">Caléndula</t>
  </si>
  <si>
    <t xml:space="preserve">Durazno</t>
  </si>
  <si>
    <t xml:space="preserve">Té pu-erh</t>
  </si>
  <si>
    <t xml:space="preserve">Hibisco</t>
  </si>
  <si>
    <t xml:space="preserve">Pomelo</t>
  </si>
  <si>
    <t xml:space="preserve">Leche</t>
  </si>
  <si>
    <t xml:space="preserve">Chocolate</t>
  </si>
  <si>
    <t xml:space="preserve">Anís estrellado</t>
  </si>
  <si>
    <t xml:space="preserve">Canela</t>
  </si>
  <si>
    <t xml:space="preserve">Clavo de olor</t>
  </si>
  <si>
    <t xml:space="preserve">Cúrcuma</t>
  </si>
  <si>
    <t xml:space="preserve">Pimienta negra</t>
  </si>
  <si>
    <t xml:space="preserve">Café espresso</t>
  </si>
  <si>
    <t xml:space="preserve">Espuma de leche</t>
  </si>
  <si>
    <t xml:space="preserve">Hielo</t>
  </si>
  <si>
    <t xml:space="preserve">Dulce de leche</t>
  </si>
  <si>
    <t xml:space="preserve">Banana</t>
  </si>
  <si>
    <t xml:space="preserve">Base líquida a confirmar</t>
  </si>
  <si>
    <t xml:space="preserve">Frutos rojos</t>
  </si>
  <si>
    <t xml:space="preserve">Chía</t>
  </si>
  <si>
    <t xml:space="preserve">Arándanos</t>
  </si>
  <si>
    <t xml:space="preserve">Mango</t>
  </si>
  <si>
    <t xml:space="preserve">Maracuyá</t>
  </si>
  <si>
    <t xml:space="preserve">Ananá</t>
  </si>
  <si>
    <t xml:space="preserve">Bebida vegetal a confirmar</t>
  </si>
  <si>
    <t xml:space="preserve">Ingredientes según postre</t>
  </si>
  <si>
    <t xml:space="preserve">Premezcla sin gluten</t>
  </si>
  <si>
    <t xml:space="preserve">Membrillo</t>
  </si>
  <si>
    <t xml:space="preserve">Huevos y materia grasa a verificar</t>
  </si>
  <si>
    <t xml:space="preserve">Cookies sin gluten</t>
  </si>
  <si>
    <t xml:space="preserve">Bizcochuelo de vainilla</t>
  </si>
  <si>
    <t xml:space="preserve">Chocolate blanco</t>
  </si>
  <si>
    <t xml:space="preserve">Nueces</t>
  </si>
  <si>
    <t xml:space="preserve">Leche condensada</t>
  </si>
  <si>
    <t xml:space="preserve">Bizcochuelo de chocolate</t>
  </si>
  <si>
    <t xml:space="preserve">Crema chantilly</t>
  </si>
  <si>
    <t xml:space="preserve">Galletas</t>
  </si>
  <si>
    <t xml:space="preserve">Bizcochuelo de cacao</t>
  </si>
  <si>
    <t xml:space="preserve">Crema de queso</t>
  </si>
  <si>
    <t xml:space="preserve">Frutillas</t>
  </si>
  <si>
    <t xml:space="preserve">Base crocante</t>
  </si>
  <si>
    <t xml:space="preserve">Lima</t>
  </si>
  <si>
    <t xml:space="preserve">Crema</t>
  </si>
  <si>
    <t xml:space="preserve">Leche condensada o huevos a verificar</t>
  </si>
  <si>
    <t xml:space="preserve">Almendras</t>
  </si>
  <si>
    <t xml:space="preserve">Harina o base a verificar</t>
  </si>
  <si>
    <t xml:space="preserve">Brownie</t>
  </si>
  <si>
    <t xml:space="preserve">Chocolate negro</t>
  </si>
  <si>
    <t xml:space="preserve">Dulce de frambuesa</t>
  </si>
  <si>
    <t xml:space="preserve">Frambuesas bañadas en chocolate</t>
  </si>
  <si>
    <t xml:space="preserve">Tomate</t>
  </si>
  <si>
    <t xml:space="preserve">Panceta</t>
  </si>
  <si>
    <t xml:space="preserve">Huevo</t>
  </si>
  <si>
    <t xml:space="preserve">Pan de campo</t>
  </si>
  <si>
    <t xml:space="preserve">Jamón cocido</t>
  </si>
  <si>
    <t xml:space="preserve">Queso azul</t>
  </si>
  <si>
    <t xml:space="preserve">Peras</t>
  </si>
  <si>
    <t xml:space="preserve">Queso danbo</t>
  </si>
  <si>
    <t xml:space="preserve">Semillas</t>
  </si>
  <si>
    <t xml:space="preserve">Pan a confirmar</t>
  </si>
  <si>
    <t xml:space="preserve">Mortadela</t>
  </si>
  <si>
    <t xml:space="preserve">Manteca especiada</t>
  </si>
  <si>
    <t xml:space="preserve">Pistacho</t>
  </si>
  <si>
    <t xml:space="preserve">Alérgenos y preferencias alimentarias</t>
  </si>
  <si>
    <t xml:space="preserve">Matriz deliberadamente conservadora: «Verificar» evita publicar afirmaciones inseguras. La validación final debe realizarla Amelí con recetas y etiquetas vigentes.</t>
  </si>
  <si>
    <t xml:space="preserve">Vegetariano</t>
  </si>
  <si>
    <t xml:space="preserve">Vegano</t>
  </si>
  <si>
    <t xml:space="preserve">Sin lactosa</t>
  </si>
  <si>
    <t xml:space="preserve">Contiene gluten</t>
  </si>
  <si>
    <t xml:space="preserve">Contiene leche</t>
  </si>
  <si>
    <t xml:space="preserve">Contiene huevo</t>
  </si>
  <si>
    <t xml:space="preserve">Contiene soja</t>
  </si>
  <si>
    <t xml:space="preserve">Contiene maní</t>
  </si>
  <si>
    <t xml:space="preserve">Contiene frutos secos</t>
  </si>
  <si>
    <t xml:space="preserve">Contiene sésamo</t>
  </si>
  <si>
    <t xml:space="preserve">Contiene pescado</t>
  </si>
  <si>
    <t xml:space="preserve">Contiene mariscos</t>
  </si>
  <si>
    <t xml:space="preserve">Contiene alcohol</t>
  </si>
  <si>
    <t xml:space="preserve">Contiene cafeína</t>
  </si>
  <si>
    <t xml:space="preserve">Estado de validación</t>
  </si>
  <si>
    <t xml:space="preserve">Advertencia / observaciones</t>
  </si>
  <si>
    <t xml:space="preserve">Pendiente</t>
  </si>
  <si>
    <t xml:space="preserve">Producto tercerizado: validar certificación vigente, proveedor, almacenamiento, utensilios y riesgo de contaminación cruzada.</t>
  </si>
  <si>
    <t xml:space="preserve">Personalización y adicionales</t>
  </si>
  <si>
    <t xml:space="preserve">Usar «Verificar» hasta definir reglas de cocina, recargos y disponibilidad. Las opciones visibles en el menú deben coincidir con la operación real.</t>
  </si>
  <si>
    <t xml:space="preserve">Admite cambios</t>
  </si>
  <si>
    <t xml:space="preserve">Extra espresso</t>
  </si>
  <si>
    <t xml:space="preserve">Extra crema</t>
  </si>
  <si>
    <t xml:space="preserve">Extra queso</t>
  </si>
  <si>
    <t xml:space="preserve">Extra palta</t>
  </si>
  <si>
    <t xml:space="preserve">Extra miel</t>
  </si>
  <si>
    <t xml:space="preserve">Extra dulce de leche</t>
  </si>
  <si>
    <t xml:space="preserve">Sin azúcar añadida</t>
  </si>
  <si>
    <t xml:space="preserve">Opción para llevar</t>
  </si>
  <si>
    <t xml:space="preserve">Ingeniería de menú · Matriz Estrella / Caballo / Puzzle / Perro</t>
  </si>
  <si>
    <t xml:space="preserve">La clasificación se activa al cargar precio, costo y unidades vendidas. No sustituye el criterio de marca, disponibilidad ni complejidad operativa.</t>
  </si>
  <si>
    <t xml:space="preserve">Margen de contribución</t>
  </si>
  <si>
    <t xml:space="preserve">Margen %</t>
  </si>
  <si>
    <t xml:space="preserve">Unidades vendidas</t>
  </si>
  <si>
    <t xml:space="preserve">Popularidad en categoría</t>
  </si>
  <si>
    <t xml:space="preserve">Promedio ventas categoría</t>
  </si>
  <si>
    <t xml:space="preserve">Promedio margen categoría</t>
  </si>
  <si>
    <t xml:space="preserve">Clasificación</t>
  </si>
  <si>
    <t xml:space="preserve">Prioridad sugerida</t>
  </si>
  <si>
    <t xml:space="preserve">Etiqueta sugerida</t>
  </si>
  <si>
    <t xml:space="preserve">Decisión editorial</t>
  </si>
  <si>
    <t xml:space="preserve">Multimedia, accesibilidad y SEO multilingüe</t>
  </si>
  <si>
    <t xml:space="preserve">Completar URLs de imágenes y video. Los textos alternativos, slugs y metadatos ya están localizados para cada idioma.</t>
  </si>
  <si>
    <t xml:space="preserve">URL imagen principal</t>
  </si>
  <si>
    <t xml:space="preserve">URL imagen 2</t>
  </si>
  <si>
    <t xml:space="preserve">URL video</t>
  </si>
  <si>
    <t xml:space="preserve">Alt text ES</t>
  </si>
  <si>
    <t xml:space="preserve">Alt text EN</t>
  </si>
  <si>
    <t xml:space="preserve">Alt text PT</t>
  </si>
  <si>
    <t xml:space="preserve">Alt text FR</t>
  </si>
  <si>
    <t xml:space="preserve">Alt text IT</t>
  </si>
  <si>
    <t xml:space="preserve">Slug ES</t>
  </si>
  <si>
    <t xml:space="preserve">Slug EN</t>
  </si>
  <si>
    <t xml:space="preserve">Slug PT</t>
  </si>
  <si>
    <t xml:space="preserve">Slug FR</t>
  </si>
  <si>
    <t xml:space="preserve">Slug IT</t>
  </si>
  <si>
    <t xml:space="preserve">Meta title ES</t>
  </si>
  <si>
    <t xml:space="preserve">Meta title EN</t>
  </si>
  <si>
    <t xml:space="preserve">Meta title PT</t>
  </si>
  <si>
    <t xml:space="preserve">Meta title FR</t>
  </si>
  <si>
    <t xml:space="preserve">Meta title IT</t>
  </si>
  <si>
    <t xml:space="preserve">Meta description ES</t>
  </si>
  <si>
    <t xml:space="preserve">Meta description EN</t>
  </si>
  <si>
    <t xml:space="preserve">Meta description PT</t>
  </si>
  <si>
    <t xml:space="preserve">Meta description FR</t>
  </si>
  <si>
    <t xml:space="preserve">Meta description IT</t>
  </si>
  <si>
    <t xml:space="preserve">Avocado de Amelí Casa de Té &amp; Brunch.</t>
  </si>
  <si>
    <t xml:space="preserve">Avocado Breakfast at Amelí Casa de Té &amp; Brunch.</t>
  </si>
  <si>
    <t xml:space="preserve">Café da manhã com abacate da Amelí Casa de Té &amp; Brunch.</t>
  </si>
  <si>
    <t xml:space="preserve">Petit-déjeuner à l’avocat chez Amelí Casa de Té &amp; Brunch.</t>
  </si>
  <si>
    <t xml:space="preserve">Colazione con avocado da Amelí Casa de Té &amp; Brunch.</t>
  </si>
  <si>
    <t xml:space="preserve">avocado</t>
  </si>
  <si>
    <t xml:space="preserve">avocado-breakfast</t>
  </si>
  <si>
    <t xml:space="preserve">cafe-da-manha-com-abacate</t>
  </si>
  <si>
    <t xml:space="preserve">petit-dejeuner-a-l-avocat</t>
  </si>
  <si>
    <t xml:space="preserve">colazione-con-avocado</t>
  </si>
  <si>
    <t xml:space="preserve">Avocado | Amelí</t>
  </si>
  <si>
    <t xml:space="preserve">Avocado Breakfast | Amelí</t>
  </si>
  <si>
    <t xml:space="preserve">Café da manhã com abacate | Amelí</t>
  </si>
  <si>
    <t xml:space="preserve">Petit-déjeuner à l’avocat | Amelí</t>
  </si>
  <si>
    <t xml:space="preserve">Colazione con avocado | Amelí</t>
  </si>
  <si>
    <t xml:space="preserve">Bowl de huevos revueltos y palta, acompañado de dos tostadas, queso crema, café o té y un vaso pequeño de jugo de naranja. Disponible en Amelí, Malargüe…</t>
  </si>
  <si>
    <t xml:space="preserve">A bowl of scrambled eggs and avocado, served with two slices of toast, cream cheese, coffee or tea, and a small glass of orange juice. Available at Amelí…</t>
  </si>
  <si>
    <t xml:space="preserve">Bowl de ovos mexidos com abacate, acompanhado de duas torradas, cream cheese, café ou chá e um pequeno copo de suco de laranja. Disponível na Amelí, em…</t>
  </si>
  <si>
    <t xml:space="preserve">Bol d’œufs brouillés et d’avocat, accompagné de deux toasts, de fromage frais, d’un café ou d’un thé et d’un petit verre de jus d’orange. À découvrir chez…</t>
  </si>
  <si>
    <t xml:space="preserve">Bowl con uova strapazzate e avocado, accompagnato da due fette di pane tostato, formaggio spalmabile, caffè o tè e un piccolo bicchiere di succo…</t>
  </si>
  <si>
    <t xml:space="preserve">Desayuno clásico de Amelí Casa de Té &amp; Brunch.</t>
  </si>
  <si>
    <t xml:space="preserve">Classic Breakfast at Amelí Casa de Té &amp; Brunch.</t>
  </si>
  <si>
    <t xml:space="preserve">Café da manhã clássico da Amelí Casa de Té &amp; Brunch.</t>
  </si>
  <si>
    <t xml:space="preserve">Petit-déjeuner classique chez Amelí Casa de Té &amp; Brunch.</t>
  </si>
  <si>
    <t xml:space="preserve">Colazione classica da Amelí Casa de Té &amp; Brunch.</t>
  </si>
  <si>
    <t xml:space="preserve">desayuno-clasico</t>
  </si>
  <si>
    <t xml:space="preserve">classic-breakfast</t>
  </si>
  <si>
    <t xml:space="preserve">cafe-da-manha-classico</t>
  </si>
  <si>
    <t xml:space="preserve">petit-dejeuner-classique</t>
  </si>
  <si>
    <t xml:space="preserve">colazione-classica</t>
  </si>
  <si>
    <t xml:space="preserve">Desayuno clásico | Amelí</t>
  </si>
  <si>
    <t xml:space="preserve">Classic Breakfast | Amelí</t>
  </si>
  <si>
    <t xml:space="preserve">Café da manhã clássico | Amelí</t>
  </si>
  <si>
    <t xml:space="preserve">Petit-déjeuner classique | Amelí</t>
  </si>
  <si>
    <t xml:space="preserve">Colazione classica | Amelí</t>
  </si>
  <si>
    <t xml:space="preserve">Dos tostadas con queso crema y mermelada, acompañadas de café o té y un vaso pequeño de jugo de naranja. Disponible en Amelí, Malargüe, Mendoza.</t>
  </si>
  <si>
    <t xml:space="preserve">Two slices of toast with cream cheese and jam, served with coffee or tea and a small glass of orange juice. Available at Amelí in Malargüe, Mendoza.</t>
  </si>
  <si>
    <t xml:space="preserve">Duas torradas com cream cheese e geleia, acompanhadas de café ou chá e um pequeno copo de suco de laranja. Disponível na Amelí, em Malargüe, Mendoza.</t>
  </si>
  <si>
    <t xml:space="preserve">Deux toasts avec fromage frais et confiture, accompagnés d’un café ou d’un thé et d’un petit verre de jus d’orange. À découvrir chez Amelí, à Malargüe…</t>
  </si>
  <si>
    <t xml:space="preserve">Due fette di pane tostato con formaggio spalmabile e confettura, accompagnate da caffè o tè e da un piccolo bicchiere di succo d’arancia. Disponibile da…</t>
  </si>
  <si>
    <t xml:space="preserve">Desayuno mendocino de Amelí Casa de Té &amp; Brunch.</t>
  </si>
  <si>
    <t xml:space="preserve">Mendoza Breakfast at Amelí Casa de Té &amp; Brunch.</t>
  </si>
  <si>
    <t xml:space="preserve">Café da manhã mendocino da Amelí Casa de Té &amp; Brunch.</t>
  </si>
  <si>
    <t xml:space="preserve">Petit-déjeuner mendocin chez Amelí Casa de Té &amp; Brunch.</t>
  </si>
  <si>
    <t xml:space="preserve">Colazione mendocina da Amelí Casa de Té &amp; Brunch.</t>
  </si>
  <si>
    <t xml:space="preserve">desayuno-mendocino</t>
  </si>
  <si>
    <t xml:space="preserve">mendoza-breakfast</t>
  </si>
  <si>
    <t xml:space="preserve">cafe-da-manha-mendocino</t>
  </si>
  <si>
    <t xml:space="preserve">petit-dejeuner-mendocin</t>
  </si>
  <si>
    <t xml:space="preserve">colazione-mendocina</t>
  </si>
  <si>
    <t xml:space="preserve">Desayuno mendocino | Amelí</t>
  </si>
  <si>
    <t xml:space="preserve">Mendoza Breakfast | Amelí</t>
  </si>
  <si>
    <t xml:space="preserve">Café da manhã mendocino | Amelí</t>
  </si>
  <si>
    <t xml:space="preserve">Petit-déjeuner mendocin | Amelí</t>
  </si>
  <si>
    <t xml:space="preserve">Colazione mendocina | Amelí</t>
  </si>
  <si>
    <t xml:space="preserve">Dos raspaditas mendocinas, acompañadas de café o té y un vaso pequeño de jugo de naranja. Disponible en Amelí, Malargüe, Mendoza.</t>
  </si>
  <si>
    <t xml:space="preserve">Two traditional Mendoza raspaditas, served with coffee or tea and a small glass of orange juice. Available at Amelí in Malargüe, Mendoza.</t>
  </si>
  <si>
    <t xml:space="preserve">Duas raspaditas tradicionais de Mendoza, acompanhadas de café ou chá e um pequeno copo de suco de laranja. Disponível na Amelí, em Malargüe, Mendoza.</t>
  </si>
  <si>
    <t xml:space="preserve">Deux raspaditas traditionnelles de Mendoza, accompagnées d’un café ou d’un thé et d’un petit verre de jus d’orange. À découvrir chez Amelí, à Malargüe…</t>
  </si>
  <si>
    <t xml:space="preserve">Due raspaditas tradizionali di Mendoza, accompagnate da caffè o tè e da un piccolo bicchiere di succo d’arancia. Disponibile da Amelí, a Malargüe, Mendoza.</t>
  </si>
  <si>
    <t xml:space="preserve">Desayuno saludable de Amelí Casa de Té &amp; Brunch.</t>
  </si>
  <si>
    <t xml:space="preserve">Healthy Breakfast at Amelí Casa de Té &amp; Brunch.</t>
  </si>
  <si>
    <t xml:space="preserve">Café da manhã saudável da Amelí Casa de Té &amp; Brunch.</t>
  </si>
  <si>
    <t xml:space="preserve">Petit-déjeuner équilibré chez Amelí Casa de Té &amp; Brunch.</t>
  </si>
  <si>
    <t xml:space="preserve">Colazione salutare da Amelí Casa de Té &amp; Brunch.</t>
  </si>
  <si>
    <t xml:space="preserve">desayuno-saludable</t>
  </si>
  <si>
    <t xml:space="preserve">healthy-breakfast</t>
  </si>
  <si>
    <t xml:space="preserve">cafe-da-manha-saudavel</t>
  </si>
  <si>
    <t xml:space="preserve">petit-dejeuner-equilibre</t>
  </si>
  <si>
    <t xml:space="preserve">colazione-salutare</t>
  </si>
  <si>
    <t xml:space="preserve">Desayuno saludable | Amelí</t>
  </si>
  <si>
    <t xml:space="preserve">Healthy Breakfast | Amelí</t>
  </si>
  <si>
    <t xml:space="preserve">Café da manhã saudável | Amelí</t>
  </si>
  <si>
    <t xml:space="preserve">Petit-déjeuner équilibré | Amelí</t>
  </si>
  <si>
    <t xml:space="preserve">Colazione salutare | Amelí</t>
  </si>
  <si>
    <t xml:space="preserve">Yogur con frutas de estación, granola, frutos secos, miel y coco, acompañado de café o té y un vaso pequeño de jugo de naranja. Disponible en Amelí…</t>
  </si>
  <si>
    <t xml:space="preserve">Yoghurt with seasonal fruit, granola, nuts, honey and coconut, served with coffee or tea and a small glass of orange juice. Available at Amelí in…</t>
  </si>
  <si>
    <t xml:space="preserve">Iogurte com frutas da estação, granola, castanhas, mel e coco, acompanhado de café ou chá e um pequeno copo de suco de laranja. Disponível na Amelí, em…</t>
  </si>
  <si>
    <t xml:space="preserve">Yaourt aux fruits de saison, granola, fruits à coque, miel et noix de coco, accompagné d’un café ou d’un thé et d’un petit verre de jus d’orange. À…</t>
  </si>
  <si>
    <t xml:space="preserve">Yogurt con frutta di stagione, granola, frutta secca, miele e cocco, accompagnato da caffè o tè e da un piccolo bicchiere di succo d’arancia. Disponibile…</t>
  </si>
  <si>
    <t xml:space="preserve">Bowl de huevos de Amelí Casa de Té &amp; Brunch.</t>
  </si>
  <si>
    <t xml:space="preserve">Egg Bowl at Amelí Casa de Té &amp; Brunch.</t>
  </si>
  <si>
    <t xml:space="preserve">Bowl de ovos da Amelí Casa de Té &amp; Brunch.</t>
  </si>
  <si>
    <t xml:space="preserve">Bowl d’œufs chez Amelí Casa de Té &amp; Brunch.</t>
  </si>
  <si>
    <t xml:space="preserve">Bowl di uova da Amelí Casa de Té &amp; Brunch.</t>
  </si>
  <si>
    <t xml:space="preserve">bowl-de-huevos</t>
  </si>
  <si>
    <t xml:space="preserve">egg-bowl</t>
  </si>
  <si>
    <t xml:space="preserve">bowl-de-ovos</t>
  </si>
  <si>
    <t xml:space="preserve">bowl-d-ufs</t>
  </si>
  <si>
    <t xml:space="preserve">bowl-di-uova</t>
  </si>
  <si>
    <t xml:space="preserve">Bowl de huevos | Amelí</t>
  </si>
  <si>
    <t xml:space="preserve">Egg Bowl | Amelí</t>
  </si>
  <si>
    <t xml:space="preserve">Bowl de ovos | Amelí</t>
  </si>
  <si>
    <t xml:space="preserve">Bowl d’œufs | Amelí</t>
  </si>
  <si>
    <t xml:space="preserve">Bowl di uova | Amelí</t>
  </si>
  <si>
    <t xml:space="preserve">Huevos preparados al momento y servidos en bowl. Consultar los acompañamientos disponibles. Disponible en Amelí, Malargüe, Mendoza.</t>
  </si>
  <si>
    <t xml:space="preserve">Eggs cooked to order and served in a bowl. Please ask about the available accompaniments. Available at Amelí in Malargüe, Mendoza.</t>
  </si>
  <si>
    <t xml:space="preserve">Ovos preparados na hora e servidos em bowl. Consulte os acompanhamentos disponíveis. Disponível na Amelí, em Malargüe, Mendoza.</t>
  </si>
  <si>
    <t xml:space="preserve">Œufs préparés à la demande et servis dans un bol. Merci de consulter les accompagnements disponibles. À découvrir chez Amelí, à Malargüe, Mendoza.</t>
  </si>
  <si>
    <t xml:space="preserve">Uova preparate al momento e servite in bowl. Chiedere quali accompagnamenti sono disponibili. Disponibile da Amelí, a Malargüe, Mendoza.</t>
  </si>
  <si>
    <t xml:space="preserve">Bowl de frutas de Amelí Casa de Té &amp; Brunch.</t>
  </si>
  <si>
    <t xml:space="preserve">Seasonal Fruit Bowl at Amelí Casa de Té &amp; Brunch.</t>
  </si>
  <si>
    <t xml:space="preserve">Bowl de frutas da estação da Amelí Casa de Té &amp; Brunch.</t>
  </si>
  <si>
    <t xml:space="preserve">Bol de fruits de saison chez Amelí Casa de Té &amp; Brunch.</t>
  </si>
  <si>
    <t xml:space="preserve">Bowl di frutta di stagione da Amelí Casa de Té &amp; Brunch.</t>
  </si>
  <si>
    <t xml:space="preserve">bowl-de-frutas</t>
  </si>
  <si>
    <t xml:space="preserve">seasonal-fruit-bowl</t>
  </si>
  <si>
    <t xml:space="preserve">bowl-de-frutas-da-estacao</t>
  </si>
  <si>
    <t xml:space="preserve">bol-de-fruits-de-saison</t>
  </si>
  <si>
    <t xml:space="preserve">bowl-di-frutta-di-stagione</t>
  </si>
  <si>
    <t xml:space="preserve">Bowl de frutas | Amelí</t>
  </si>
  <si>
    <t xml:space="preserve">Seasonal Fruit Bowl | Amelí</t>
  </si>
  <si>
    <t xml:space="preserve">Bowl de frutas da estação | Amelí</t>
  </si>
  <si>
    <t xml:space="preserve">Bol de fruits de saison | Amelí</t>
  </si>
  <si>
    <t xml:space="preserve">Bowl di frutta di stagione | Amelí</t>
  </si>
  <si>
    <t xml:space="preserve">Selección de frutas frescas de estación, servidas en bowl. Disponible en Amelí, Malargüe, Mendoza.</t>
  </si>
  <si>
    <t xml:space="preserve">A selection of fresh seasonal fruit, served in a bowl. Available at Amelí in Malargüe, Mendoza.</t>
  </si>
  <si>
    <t xml:space="preserve">Seleção de frutas frescas da estação, servidas em bowl. Disponível na Amelí, em Malargüe, Mendoza.</t>
  </si>
  <si>
    <t xml:space="preserve">Sélection de fruits frais de saison, servis dans un bol. À découvrir chez Amelí, à Malargüe, Mendoza.</t>
  </si>
  <si>
    <t xml:space="preserve">Selezione di frutta fresca di stagione, servita in bowl. Disponibile da Amelí, a Malargüe, Mendoza.</t>
  </si>
  <si>
    <t xml:space="preserve">Chipá de Amelí Casa de Té &amp; Brunch.</t>
  </si>
  <si>
    <t xml:space="preserve">Chipá Cheese Rolls at Amelí Casa de Té &amp; Brunch.</t>
  </si>
  <si>
    <t xml:space="preserve">Pão de queijo tipo chipá da Amelí Casa de Té &amp; Brunch.</t>
  </si>
  <si>
    <t xml:space="preserve">Petits pains au fromage chipá chez Amelí Casa de Té &amp; Brunch.</t>
  </si>
  <si>
    <t xml:space="preserve">Panini al formaggio chipá da Amelí Casa de Té &amp; Brunch.</t>
  </si>
  <si>
    <t xml:space="preserve">chipa</t>
  </si>
  <si>
    <t xml:space="preserve">chipa-cheese-rolls</t>
  </si>
  <si>
    <t xml:space="preserve">pao-de-queijo-tipo-chipa</t>
  </si>
  <si>
    <t xml:space="preserve">petits-pains-au-fromage-chipa</t>
  </si>
  <si>
    <t xml:space="preserve">panini-al-formaggio-chipa</t>
  </si>
  <si>
    <t xml:space="preserve">Chipá | Amelí</t>
  </si>
  <si>
    <t xml:space="preserve">Chipá Cheese Rolls | Amelí</t>
  </si>
  <si>
    <t xml:space="preserve">Pão de queijo tipo chipá | Amelí</t>
  </si>
  <si>
    <t xml:space="preserve">Petits pains au fromage chipá | Amelí</t>
  </si>
  <si>
    <t xml:space="preserve">Panini al formaggio chipá | Amelí</t>
  </si>
  <si>
    <t xml:space="preserve">Panecillos de almidón de mandioca y queso, suaves por dentro y ligeramente crocantes por fuera. Disponible en Amelí, Malargüe, Mendoza.</t>
  </si>
  <si>
    <t xml:space="preserve">Cheese rolls made with cassava starch, soft inside and lightly crisp outside. Available at Amelí in Malargüe, Mendoza.</t>
  </si>
  <si>
    <t xml:space="preserve">Pãezinhos de polvilho e queijo, macios por dentro e levemente crocantes por fora. Disponível na Amelí, em Malargüe, Mendoza.</t>
  </si>
  <si>
    <t xml:space="preserve">Petits pains au fromage à base de fécule de manioc, moelleux à l’intérieur et légèrement croustillants à l’extérieur. À découvrir chez Amelí, à Malargüe…</t>
  </si>
  <si>
    <t xml:space="preserve">Panini al formaggio preparati con amido di manioca, morbidi all’interno e leggermente croccanti fuori. Disponibile da Amelí, a Malargüe, Mendoza.</t>
  </si>
  <si>
    <t xml:space="preserve">Medialunas de Amelí Casa de Té &amp; Brunch.</t>
  </si>
  <si>
    <t xml:space="preserve">Argentine Croissants at Amelí Casa de Té &amp; Brunch.</t>
  </si>
  <si>
    <t xml:space="preserve">Medialunas argentinas da Amelí Casa de Té &amp; Brunch.</t>
  </si>
  <si>
    <t xml:space="preserve">Croissants argentins chez Amelí Casa de Té &amp; Brunch.</t>
  </si>
  <si>
    <t xml:space="preserve">Cornetti argentini da Amelí Casa de Té &amp; Brunch.</t>
  </si>
  <si>
    <t xml:space="preserve">medialunas</t>
  </si>
  <si>
    <t xml:space="preserve">argentine-croissants</t>
  </si>
  <si>
    <t xml:space="preserve">medialunas-argentinas</t>
  </si>
  <si>
    <t xml:space="preserve">croissants-argentins</t>
  </si>
  <si>
    <t xml:space="preserve">cornetti-argentini</t>
  </si>
  <si>
    <t xml:space="preserve">Medialunas | Amelí</t>
  </si>
  <si>
    <t xml:space="preserve">Argentine Croissants | Amelí</t>
  </si>
  <si>
    <t xml:space="preserve">Medialunas argentinas | Amelí</t>
  </si>
  <si>
    <t xml:space="preserve">Croissants argentins | Amelí</t>
  </si>
  <si>
    <t xml:space="preserve">Cornetti argentini | Amelí</t>
  </si>
  <si>
    <t xml:space="preserve">Medialunas argentinas suaves y hojaldradas. Consultar presentación y cantidad por porción. Disponible en Amelí, Malargüe, Mendoza.</t>
  </si>
  <si>
    <t xml:space="preserve">Soft, flaky Argentine croissants. Please ask about serving size and presentation. Available at Amelí in Malargüe, Mendoza.</t>
  </si>
  <si>
    <t xml:space="preserve">Medialunas argentinas macias e folhadas. Consulte a quantidade e a apresentação da porção. Disponível na Amelí, em Malargüe, Mendoza.</t>
  </si>
  <si>
    <t xml:space="preserve">Croissants argentins moelleux et feuilletés. Merci de consulter la quantité et la présentation. À découvrir chez Amelí, à Malargüe, Mendoza.</t>
  </si>
  <si>
    <t xml:space="preserve">Cornetti argentini soffici e sfogliati. Chiedere quantità e presentazione della porzione. Disponibile da Amelí, a Malargüe, Mendoza.</t>
  </si>
  <si>
    <t xml:space="preserve">Mini budines de Amelí Casa de Té &amp; Brunch.</t>
  </si>
  <si>
    <t xml:space="preserve">Mini Loaf Cakes at Amelí Casa de Té &amp; Brunch.</t>
  </si>
  <si>
    <t xml:space="preserve">Mini bolos tipo inglês da Amelí Casa de Té &amp; Brunch.</t>
  </si>
  <si>
    <t xml:space="preserve">Mini cakes chez Amelí Casa de Té &amp; Brunch.</t>
  </si>
  <si>
    <t xml:space="preserve">Mini plumcake da Amelí Casa de Té &amp; Brunch.</t>
  </si>
  <si>
    <t xml:space="preserve">mini-budines</t>
  </si>
  <si>
    <t xml:space="preserve">mini-loaf-cakes</t>
  </si>
  <si>
    <t xml:space="preserve">mini-bolos-tipo-ingles</t>
  </si>
  <si>
    <t xml:space="preserve">mini-cakes</t>
  </si>
  <si>
    <t xml:space="preserve">mini-plumcake</t>
  </si>
  <si>
    <t xml:space="preserve">Mini budines | Amelí</t>
  </si>
  <si>
    <t xml:space="preserve">Mini Loaf Cakes | Amelí</t>
  </si>
  <si>
    <t xml:space="preserve">Mini bolos tipo inglês | Amelí</t>
  </si>
  <si>
    <t xml:space="preserve">Mini cakes | Amelí</t>
  </si>
  <si>
    <t xml:space="preserve">Mini plumcake | Amelí</t>
  </si>
  <si>
    <t xml:space="preserve">Selección de mini budines artesanales. Consultar los sabores disponibles del día. Disponible en Amelí, Malargüe, Mendoza.</t>
  </si>
  <si>
    <t xml:space="preserve">A selection of handmade mini loaf cakes. Please ask about today’s available flavours. Available at Amelí in Malargüe, Mendoza.</t>
  </si>
  <si>
    <t xml:space="preserve">Seleção de mini bolos artesanais. Consulte os sabores disponíveis do dia. Disponível na Amelí, em Malargüe, Mendoza.</t>
  </si>
  <si>
    <t xml:space="preserve">Sélection de mini cakes artisanaux. Merci de demander les parfums disponibles du jour. À découvrir chez Amelí, à Malargüe, Mendoza.</t>
  </si>
  <si>
    <t xml:space="preserve">Selezione di mini plumcake artigianali. Chiedere i gusti disponibili del giorno. Disponibile da Amelí, a Malargüe, Mendoza.</t>
  </si>
  <si>
    <t xml:space="preserve">Raspaditas mendocinas de Amelí Casa de Té &amp; Brunch.</t>
  </si>
  <si>
    <t xml:space="preserve">Mendoza Raspaditas at Amelí Casa de Té &amp; Brunch.</t>
  </si>
  <si>
    <t xml:space="preserve">Raspaditas mendocinas da Amelí Casa de Té &amp; Brunch.</t>
  </si>
  <si>
    <t xml:space="preserve">Raspaditas de Mendoza chez Amelí Casa de Té &amp; Brunch.</t>
  </si>
  <si>
    <t xml:space="preserve">Raspaditas mendocine da Amelí Casa de Té &amp; Brunch.</t>
  </si>
  <si>
    <t xml:space="preserve">raspaditas-mendocinas</t>
  </si>
  <si>
    <t xml:space="preserve">mendoza-raspaditas</t>
  </si>
  <si>
    <t xml:space="preserve">raspaditas-de-mendoza</t>
  </si>
  <si>
    <t xml:space="preserve">raspaditas-mendocine</t>
  </si>
  <si>
    <t xml:space="preserve">Raspaditas mendocinas | Amelí</t>
  </si>
  <si>
    <t xml:space="preserve">Mendoza Raspaditas | Amelí</t>
  </si>
  <si>
    <t xml:space="preserve">Raspaditas de Mendoza | Amelí</t>
  </si>
  <si>
    <t xml:space="preserve">Raspaditas mendocine | Amelí</t>
  </si>
  <si>
    <t xml:space="preserve">Tortitas saladas tradicionales de Mendoza, de textura firme, ideales para acompañar café, té o mate. Disponible en Amelí, Malargüe, Mendoza.</t>
  </si>
  <si>
    <t xml:space="preserve">Traditional savoury baked rounds from Mendoza, with a firm texture and perfect alongside coffee, tea or mate. Available at Amelí in Malargüe, Mendoza.</t>
  </si>
  <si>
    <t xml:space="preserve">Tortinhas salgadas tradicionais de Mendoza, de textura firme, ideais para acompanhar café, chá ou mate. Disponível na Amelí, em Malargüe, Mendoza.</t>
  </si>
  <si>
    <t xml:space="preserve">Petites galettes salées traditionnelles de Mendoza, à la texture ferme, idéales avec un café, un thé ou du maté. À découvrir chez Amelí, à Malargüe…</t>
  </si>
  <si>
    <t xml:space="preserve">Focaccine salate tradizionali di Mendoza, dalla consistenza compatta, ideali con caffè, tè o mate. Disponibile da Amelí, a Malargüe, Mendoza.</t>
  </si>
  <si>
    <t xml:space="preserve">Smoothie bowl de Amelí Casa de Té &amp; Brunch.</t>
  </si>
  <si>
    <t xml:space="preserve">Smoothie Bowl at Amelí Casa de Té &amp; Brunch.</t>
  </si>
  <si>
    <t xml:space="preserve">Smoothie bowl da Amelí Casa de Té &amp; Brunch.</t>
  </si>
  <si>
    <t xml:space="preserve">Smoothie bowl chez Amelí Casa de Té &amp; Brunch.</t>
  </si>
  <si>
    <t xml:space="preserve">smoothie-bowl</t>
  </si>
  <si>
    <t xml:space="preserve">Smoothie bowl | Amelí</t>
  </si>
  <si>
    <t xml:space="preserve">Smoothie Bowl | Amelí</t>
  </si>
  <si>
    <t xml:space="preserve">Base cremosa de frutas servida en bowl con toppings. Consultar la combinación disponible del día. Disponible en Amelí, Malargüe, Mendoza.</t>
  </si>
  <si>
    <t xml:space="preserve">A creamy fruit base served in a bowl with toppings. Please ask about today’s available combination. Available at Amelí in Malargüe, Mendoza.</t>
  </si>
  <si>
    <t xml:space="preserve">Base cremosa de frutas servida em bowl com toppings. Consulte a combinação disponível do dia. Disponível na Amelí, em Malargüe, Mendoza.</t>
  </si>
  <si>
    <t xml:space="preserve">Base crémeuse de fruits servie dans un bol avec garnitures. Merci de demander la composition disponible du jour. À découvrir chez Amelí, à Malargüe…</t>
  </si>
  <si>
    <t xml:space="preserve">Base cremosa di frutta servita in bowl con topping. Chiedere la combinazione disponibile del giorno. Disponibile da Amelí, a Malargüe, Mendoza.</t>
  </si>
  <si>
    <t xml:space="preserve">Selección de té en hebras de Amelí Casa de Té &amp; Brunch.</t>
  </si>
  <si>
    <t xml:space="preserve">Loose-Leaf Tea Selection at Amelí Casa de Té &amp; Brunch.</t>
  </si>
  <si>
    <t xml:space="preserve">Seleção de chás de folhas soltas da Amelí Casa de Té &amp; Brunch.</t>
  </si>
  <si>
    <t xml:space="preserve">Sélection de thés en feuilles chez Amelí Casa de Té &amp; Brunch.</t>
  </si>
  <si>
    <t xml:space="preserve">Selezione di tè in foglia da Amelí Casa de Té &amp; Brunch.</t>
  </si>
  <si>
    <t xml:space="preserve">seleccion-de-te-en-hebras</t>
  </si>
  <si>
    <t xml:space="preserve">loose-leaf-tea-selection</t>
  </si>
  <si>
    <t xml:space="preserve">selecao-de-chas-de-folhas-soltas</t>
  </si>
  <si>
    <t xml:space="preserve">selection-de-thes-en-feuilles</t>
  </si>
  <si>
    <t xml:space="preserve">selezione-di-te-in-foglia</t>
  </si>
  <si>
    <t xml:space="preserve">Selección de té en hebras | Amelí</t>
  </si>
  <si>
    <t xml:space="preserve">Loose-Leaf Tea Selection | Amelí</t>
  </si>
  <si>
    <t xml:space="preserve">Seleção de chás de folhas soltas | Amelí</t>
  </si>
  <si>
    <t xml:space="preserve">Sélection de thés en feuilles | Amelí</t>
  </si>
  <si>
    <t xml:space="preserve">Selezione di tè in foglia | Amelí</t>
  </si>
  <si>
    <t xml:space="preserve">Té negro, pu-erh o verde, preparado en hebras. Disponible en Amelí, Malargüe, Mendoza.</t>
  </si>
  <si>
    <t xml:space="preserve">Black, pu-erh or green tea, brewed from loose leaves. Available at Amelí in Malargüe, Mendoza.</t>
  </si>
  <si>
    <t xml:space="preserve">Chá preto, pu-erh ou verde, preparado com folhas soltas. Disponível na Amelí, em Malargüe, Mendoza.</t>
  </si>
  <si>
    <t xml:space="preserve">Thé noir, pu-erh ou vert, préparé en feuilles. À découvrir chez Amelí, à Malargüe, Mendoza.</t>
  </si>
  <si>
    <t xml:space="preserve">Tè nero, pu-erh o verde, preparato con foglie sfuse. Disponibile da Amelí, a Malargüe, Mendoza.</t>
  </si>
  <si>
    <t xml:space="preserve">Tisana 1 · Cedrón &amp; lavanda de Amelí Casa de Té &amp; Brunch.</t>
  </si>
  <si>
    <t xml:space="preserve">Herbal Infusion 1 · Lemon Verbena &amp; Lavender at Amelí Casa de Té &amp; Brunch.</t>
  </si>
  <si>
    <t xml:space="preserve">Infusão 1 · Erva-luísa &amp; lavanda da Amelí Casa de Té &amp; Brunch.</t>
  </si>
  <si>
    <t xml:space="preserve">Tisane 1 · Verveine citronnée &amp; lavande chez Amelí Casa de Té &amp; Brunch.</t>
  </si>
  <si>
    <t xml:space="preserve">Tisana 1 · Verbena odorosa &amp; lavanda da Amelí Casa de Té &amp; Brunch.</t>
  </si>
  <si>
    <t xml:space="preserve">tisana-1-cedron-y-lavanda</t>
  </si>
  <si>
    <t xml:space="preserve">herbal-infusion-1-lemon-verbena-y-lavender</t>
  </si>
  <si>
    <t xml:space="preserve">infusao-1-erva-luisa-y-lavanda</t>
  </si>
  <si>
    <t xml:space="preserve">tisane-1-verveine-citronnee-y-lavande</t>
  </si>
  <si>
    <t xml:space="preserve">tisana-1-verbena-odorosa-y-lavanda</t>
  </si>
  <si>
    <t xml:space="preserve">Tisana 1 · Cedrón &amp; lavanda | Amelí</t>
  </si>
  <si>
    <t xml:space="preserve">Herbal Infusion 1 · Lemon Verbena &amp; Lavender | Amelí</t>
  </si>
  <si>
    <t xml:space="preserve">Infusão 1 · Erva-luísa &amp; lavanda | Amelí</t>
  </si>
  <si>
    <t xml:space="preserve">Tisane 1 · Verveine citronnée &amp; lavande | Amelí</t>
  </si>
  <si>
    <t xml:space="preserve">Tisana 1 · Verbena odorosa &amp; lavanda | Amelí</t>
  </si>
  <si>
    <t xml:space="preserve">Cedrón, lavanda, manzanilla y melisa. Disponible en Amelí, Malargüe, Mendoza.</t>
  </si>
  <si>
    <t xml:space="preserve">Lemon verbena, lavender, chamomile and lemon balm. Available at Amelí in Malargüe, Mendoza.</t>
  </si>
  <si>
    <t xml:space="preserve">Erva-luísa, lavanda, camomila e melissa. Disponível na Amelí, em Malargüe, Mendoza.</t>
  </si>
  <si>
    <t xml:space="preserve">Verveine citronnée, lavande, camomille et mélisse. À découvrir chez Amelí, à Malargüe, Mendoza.</t>
  </si>
  <si>
    <t xml:space="preserve">Verbena odorosa, lavanda, camomilla e melissa. Disponibile da Amelí, a Malargüe, Mendoza.</t>
  </si>
  <si>
    <t xml:space="preserve">Tisana 2 · Limón &amp; menta de Amelí Casa de Té &amp; Brunch.</t>
  </si>
  <si>
    <t xml:space="preserve">Herbal Infusion 2 · Lemon &amp; Mint at Amelí Casa de Té &amp; Brunch.</t>
  </si>
  <si>
    <t xml:space="preserve">Infusão 2 · Limão &amp; hortelã da Amelí Casa de Té &amp; Brunch.</t>
  </si>
  <si>
    <t xml:space="preserve">Tisane 2 · Citron &amp; menthe chez Amelí Casa de Té &amp; Brunch.</t>
  </si>
  <si>
    <t xml:space="preserve">Tisana 2 · Limone &amp; menta da Amelí Casa de Té &amp; Brunch.</t>
  </si>
  <si>
    <t xml:space="preserve">tisana-2-limon-y-menta</t>
  </si>
  <si>
    <t xml:space="preserve">herbal-infusion-2-lemon-y-mint</t>
  </si>
  <si>
    <t xml:space="preserve">infusao-2-limao-y-hortela</t>
  </si>
  <si>
    <t xml:space="preserve">tisane-2-citron-y-menthe</t>
  </si>
  <si>
    <t xml:space="preserve">tisana-2-limone-y-menta</t>
  </si>
  <si>
    <t xml:space="preserve">Tisana 2 · Limón &amp; menta | Amelí</t>
  </si>
  <si>
    <t xml:space="preserve">Herbal Infusion 2 · Lemon &amp; Mint | Amelí</t>
  </si>
  <si>
    <t xml:space="preserve">Infusão 2 · Limão &amp; hortelã | Amelí</t>
  </si>
  <si>
    <t xml:space="preserve">Tisane 2 · Citron &amp; menthe | Amelí</t>
  </si>
  <si>
    <t xml:space="preserve">Tisana 2 · Limone &amp; menta | Amelí</t>
  </si>
  <si>
    <t xml:space="preserve">Limón, menta y salvia blanca. Disponible en Amelí, Malargüe, Mendoza.</t>
  </si>
  <si>
    <t xml:space="preserve">Lemon, mint and white sage. Available at Amelí in Malargüe, Mendoza.</t>
  </si>
  <si>
    <t xml:space="preserve">Limão, hortelã e sálvia-branca. Disponível na Amelí, em Malargüe, Mendoza.</t>
  </si>
  <si>
    <t xml:space="preserve">Citron, menthe et sauge blanche. À découvrir chez Amelí, à Malargüe, Mendoza.</t>
  </si>
  <si>
    <t xml:space="preserve">Limone, menta e salvia bianca. Disponibile da Amelí, a Malargüe, Mendoza.</t>
  </si>
  <si>
    <t xml:space="preserve">Tisana 3 · Manzanilla &amp; melisa de Amelí Casa de Té &amp; Brunch.</t>
  </si>
  <si>
    <t xml:space="preserve">Herbal Infusion 3 · Chamomile &amp; Lemon Balm at Amelí Casa de Té &amp; Brunch.</t>
  </si>
  <si>
    <t xml:space="preserve">Infusão 3 · Camomila &amp; melissa da Amelí Casa de Té &amp; Brunch.</t>
  </si>
  <si>
    <t xml:space="preserve">Tisane 3 · Camomille &amp; mélisse chez Amelí Casa de Té &amp; Brunch.</t>
  </si>
  <si>
    <t xml:space="preserve">Tisana 3 · Camomilla &amp; melissa da Amelí Casa de Té &amp; Brunch.</t>
  </si>
  <si>
    <t xml:space="preserve">tisana-3-manzanilla-y-melisa</t>
  </si>
  <si>
    <t xml:space="preserve">herbal-infusion-3-chamomile-y-lemon-balm</t>
  </si>
  <si>
    <t xml:space="preserve">infusao-3-camomila-y-melissa</t>
  </si>
  <si>
    <t xml:space="preserve">tisane-3-camomille-y-melisse</t>
  </si>
  <si>
    <t xml:space="preserve">tisana-3-camomilla-y-melissa</t>
  </si>
  <si>
    <t xml:space="preserve">Tisana 3 · Manzanilla &amp; melisa | Amelí</t>
  </si>
  <si>
    <t xml:space="preserve">Herbal Infusion 3 · Chamomile &amp; Lemon Balm | Amelí</t>
  </si>
  <si>
    <t xml:space="preserve">Infusão 3 · Camomila &amp; melissa | Amelí</t>
  </si>
  <si>
    <t xml:space="preserve">Tisane 3 · Camomille &amp; mélisse | Amelí</t>
  </si>
  <si>
    <t xml:space="preserve">Tisana 3 · Camomilla &amp; melissa | Amelí</t>
  </si>
  <si>
    <t xml:space="preserve">Manzanilla, melisa y menta. Disponible en Amelí, Malargüe, Mendoza.</t>
  </si>
  <si>
    <t xml:space="preserve">Chamomile, lemon balm and mint. Available at Amelí in Malargüe, Mendoza.</t>
  </si>
  <si>
    <t xml:space="preserve">Camomila, melissa e hortelã. Disponível na Amelí, em Malargüe, Mendoza.</t>
  </si>
  <si>
    <t xml:space="preserve">Camomille, mélisse et menthe. À découvrir chez Amelí, à Malargüe, Mendoza.</t>
  </si>
  <si>
    <t xml:space="preserve">Camomilla, melissa e menta. Disponibile da Amelí, a Malargüe, Mendoza.</t>
  </si>
  <si>
    <t xml:space="preserve">Del bosque de Amelí Casa de Té &amp; Brunch.</t>
  </si>
  <si>
    <t xml:space="preserve">Forest Blend at Amelí Casa de Té &amp; Brunch.</t>
  </si>
  <si>
    <t xml:space="preserve">Blend do bosque da Amelí Casa de Té &amp; Brunch.</t>
  </si>
  <si>
    <t xml:space="preserve">Mélange des bois chez Amelí Casa de Té &amp; Brunch.</t>
  </si>
  <si>
    <t xml:space="preserve">Miscela del bosco da Amelí Casa de Té &amp; Brunch.</t>
  </si>
  <si>
    <t xml:space="preserve">del-bosque</t>
  </si>
  <si>
    <t xml:space="preserve">forest-blend</t>
  </si>
  <si>
    <t xml:space="preserve">blend-do-bosque</t>
  </si>
  <si>
    <t xml:space="preserve">melange-des-bois</t>
  </si>
  <si>
    <t xml:space="preserve">miscela-del-bosco</t>
  </si>
  <si>
    <t xml:space="preserve">Del bosque | Amelí</t>
  </si>
  <si>
    <t xml:space="preserve">Forest Blend | Amelí</t>
  </si>
  <si>
    <t xml:space="preserve">Blend do bosque | Amelí</t>
  </si>
  <si>
    <t xml:space="preserve">Mélange des bois | Amelí</t>
  </si>
  <si>
    <t xml:space="preserve">Miscela del bosco | Amelí</t>
  </si>
  <si>
    <t xml:space="preserve">Té negro, cacao y naranja. Disponible en Amelí, Malargüe, Mendoza.</t>
  </si>
  <si>
    <t xml:space="preserve">Black tea with cacao and orange. Available at Amelí in Malargüe, Mendoza.</t>
  </si>
  <si>
    <t xml:space="preserve">Chá preto com cacau e laranja. Disponível na Amelí, em Malargüe, Mendoza.</t>
  </si>
  <si>
    <t xml:space="preserve">Thé noir au cacao et à l’orange. À découvrir chez Amelí, à Malargüe, Mendoza.</t>
  </si>
  <si>
    <t xml:space="preserve">Tè nero con cacao e arancia. Disponibile da Amelí, a Malargüe, Mendoza.</t>
  </si>
  <si>
    <t xml:space="preserve">Detox de Amelí Casa de Té &amp; Brunch.</t>
  </si>
  <si>
    <t xml:space="preserve">Detox Blend at Amelí Casa de Té &amp; Brunch.</t>
  </si>
  <si>
    <t xml:space="preserve">Blend detox da Amelí Casa de Té &amp; Brunch.</t>
  </si>
  <si>
    <t xml:space="preserve">Mélange détox chez Amelí Casa de Té &amp; Brunch.</t>
  </si>
  <si>
    <t xml:space="preserve">Miscela detox da Amelí Casa de Té &amp; Brunch.</t>
  </si>
  <si>
    <t xml:space="preserve">detox</t>
  </si>
  <si>
    <t xml:space="preserve">detox-blend</t>
  </si>
  <si>
    <t xml:space="preserve">blend-detox</t>
  </si>
  <si>
    <t xml:space="preserve">melange-detox</t>
  </si>
  <si>
    <t xml:space="preserve">miscela-detox</t>
  </si>
  <si>
    <t xml:space="preserve">Detox | Amelí</t>
  </si>
  <si>
    <t xml:space="preserve">Detox Blend | Amelí</t>
  </si>
  <si>
    <t xml:space="preserve">Blend detox | Amelí</t>
  </si>
  <si>
    <t xml:space="preserve">Mélange détox | Amelí</t>
  </si>
  <si>
    <t xml:space="preserve">Miscela detox | Amelí</t>
  </si>
  <si>
    <t xml:space="preserve">Té verde, jengibre, limón y menta. Disponible en Amelí, Malargüe, Mendoza.</t>
  </si>
  <si>
    <t xml:space="preserve">Green tea with ginger, lemon and mint. Available at Amelí in Malargüe, Mendoza.</t>
  </si>
  <si>
    <t xml:space="preserve">Chá verde com gengibre, limão e hortelã. Disponível na Amelí, em Malargüe, Mendoza.</t>
  </si>
  <si>
    <t xml:space="preserve">Thé vert au gingembre, au citron et à la menthe. À découvrir chez Amelí, à Malargüe, Mendoza.</t>
  </si>
  <si>
    <t xml:space="preserve">Tè verde con zenzero, limone e menta. Disponibile da Amelí, a Malargüe, Mendoza.</t>
  </si>
  <si>
    <t xml:space="preserve">Dorado de Amelí Casa de Té &amp; Brunch.</t>
  </si>
  <si>
    <t xml:space="preserve">Golden Blend at Amelí Casa de Té &amp; Brunch.</t>
  </si>
  <si>
    <t xml:space="preserve">Blend dourado da Amelí Casa de Té &amp; Brunch.</t>
  </si>
  <si>
    <t xml:space="preserve">Mélange doré chez Amelí Casa de Té &amp; Brunch.</t>
  </si>
  <si>
    <t xml:space="preserve">Miscela dorata da Amelí Casa de Té &amp; Brunch.</t>
  </si>
  <si>
    <t xml:space="preserve">dorado</t>
  </si>
  <si>
    <t xml:space="preserve">golden-blend</t>
  </si>
  <si>
    <t xml:space="preserve">blend-dourado</t>
  </si>
  <si>
    <t xml:space="preserve">melange-dore</t>
  </si>
  <si>
    <t xml:space="preserve">miscela-dorata</t>
  </si>
  <si>
    <t xml:space="preserve">Dorado | Amelí</t>
  </si>
  <si>
    <t xml:space="preserve">Golden Blend | Amelí</t>
  </si>
  <si>
    <t xml:space="preserve">Blend dourado | Amelí</t>
  </si>
  <si>
    <t xml:space="preserve">Mélange doré | Amelí</t>
  </si>
  <si>
    <t xml:space="preserve">Miscela dorata | Amelí</t>
  </si>
  <si>
    <t xml:space="preserve">Té verde, caléndula, durazno y limón. Disponible en Amelí, Malargüe, Mendoza.</t>
  </si>
  <si>
    <t xml:space="preserve">Green tea with calendula, peach and lemon. Available at Amelí in Malargüe, Mendoza.</t>
  </si>
  <si>
    <t xml:space="preserve">Chá verde com calêndula, pêssego e limão. Disponível na Amelí, em Malargüe, Mendoza.</t>
  </si>
  <si>
    <t xml:space="preserve">Thé vert au calendula, à la pêche et au citron. À découvrir chez Amelí, à Malargüe, Mendoza.</t>
  </si>
  <si>
    <t xml:space="preserve">Tè verde con calendula, pesca e limone. Disponibile da Amelí, a Malargüe, Mendoza.</t>
  </si>
  <si>
    <t xml:space="preserve">Love de Amelí Casa de Té &amp; Brunch.</t>
  </si>
  <si>
    <t xml:space="preserve">Love Blend at Amelí Casa de Té &amp; Brunch.</t>
  </si>
  <si>
    <t xml:space="preserve">Blend love da Amelí Casa de Té &amp; Brunch.</t>
  </si>
  <si>
    <t xml:space="preserve">Mélange love chez Amelí Casa de Té &amp; Brunch.</t>
  </si>
  <si>
    <t xml:space="preserve">Miscela love da Amelí Casa de Té &amp; Brunch.</t>
  </si>
  <si>
    <t xml:space="preserve">love</t>
  </si>
  <si>
    <t xml:space="preserve">love-blend</t>
  </si>
  <si>
    <t xml:space="preserve">blend-love</t>
  </si>
  <si>
    <t xml:space="preserve">melange-love</t>
  </si>
  <si>
    <t xml:space="preserve">miscela-love</t>
  </si>
  <si>
    <t xml:space="preserve">Love | Amelí</t>
  </si>
  <si>
    <t xml:space="preserve">Love Blend | Amelí</t>
  </si>
  <si>
    <t xml:space="preserve">Blend love | Amelí</t>
  </si>
  <si>
    <t xml:space="preserve">Mélange love | Amelí</t>
  </si>
  <si>
    <t xml:space="preserve">Miscela love | Amelí</t>
  </si>
  <si>
    <t xml:space="preserve">Té pu-erh, hibisco y pomelo. Disponible en Amelí, Malargüe, Mendoza.</t>
  </si>
  <si>
    <t xml:space="preserve">Pu-erh tea with hibiscus and grapefruit. Available at Amelí in Malargüe, Mendoza.</t>
  </si>
  <si>
    <t xml:space="preserve">Chá pu-erh com hibisco e toranja. Disponível na Amelí, em Malargüe, Mendoza.</t>
  </si>
  <si>
    <t xml:space="preserve">Thé pu-erh à l’hibiscus et au pamplemousse. À découvrir chez Amelí, à Malargüe, Mendoza.</t>
  </si>
  <si>
    <t xml:space="preserve">Tè pu-erh con ibisco e pompelmo. Disponibile da Amelí, a Malargüe, Mendoza.</t>
  </si>
  <si>
    <t xml:space="preserve">Submarino de Amelí Casa de Té &amp; Brunch.</t>
  </si>
  <si>
    <t xml:space="preserve">Argentine Submarino at Amelí Casa de Té &amp; Brunch.</t>
  </si>
  <si>
    <t xml:space="preserve">Submarino argentino da Amelí Casa de Té &amp; Brunch.</t>
  </si>
  <si>
    <t xml:space="preserve">Submarino argentin chez Amelí Casa de Té &amp; Brunch.</t>
  </si>
  <si>
    <t xml:space="preserve">submarino</t>
  </si>
  <si>
    <t xml:space="preserve">argentine-submarino</t>
  </si>
  <si>
    <t xml:space="preserve">submarino-argentino</t>
  </si>
  <si>
    <t xml:space="preserve">submarino-argentin</t>
  </si>
  <si>
    <t xml:space="preserve">Submarino | Amelí</t>
  </si>
  <si>
    <t xml:space="preserve">Argentine Submarino | Amelí</t>
  </si>
  <si>
    <t xml:space="preserve">Submarino argentino | Amelí</t>
  </si>
  <si>
    <t xml:space="preserve">Submarino argentin | Amelí</t>
  </si>
  <si>
    <t xml:space="preserve">Leche caliente servida con una barra de chocolate para fundir. Disponible en Amelí, Malargüe, Mendoza.</t>
  </si>
  <si>
    <t xml:space="preserve">Hot milk served with a chocolate bar to melt into the drink. Available at Amelí in Malargüe, Mendoza.</t>
  </si>
  <si>
    <t xml:space="preserve">Leite quente servido com uma barra de chocolate para derreter na bebida. Disponível na Amelí, em Malargüe, Mendoza.</t>
  </si>
  <si>
    <t xml:space="preserve">Lait chaud servi avec une barre de chocolat à faire fondre dans la boisson. À découvrir chez Amelí, à Malargüe, Mendoza.</t>
  </si>
  <si>
    <t xml:space="preserve">Latte caldo servito con una tavoletta di cioccolato da sciogliere nella bevanda. Disponibile da Amelí, a Malargüe, Mendoza.</t>
  </si>
  <si>
    <t xml:space="preserve">Leche dorada de Amelí Casa de Té &amp; Brunch.</t>
  </si>
  <si>
    <t xml:space="preserve">Golden Milk at Amelí Casa de Té &amp; Brunch.</t>
  </si>
  <si>
    <t xml:space="preserve">Golden milk da Amelí Casa de Té &amp; Brunch.</t>
  </si>
  <si>
    <t xml:space="preserve">Lait doré chez Amelí Casa de Té &amp; Brunch.</t>
  </si>
  <si>
    <t xml:space="preserve">leche-dorada</t>
  </si>
  <si>
    <t xml:space="preserve">golden-milk</t>
  </si>
  <si>
    <t xml:space="preserve">lait-dore</t>
  </si>
  <si>
    <t xml:space="preserve">Leche dorada | Amelí</t>
  </si>
  <si>
    <t xml:space="preserve">Golden Milk | Amelí</t>
  </si>
  <si>
    <t xml:space="preserve">Golden milk | Amelí</t>
  </si>
  <si>
    <t xml:space="preserve">Lait doré | Amelí</t>
  </si>
  <si>
    <t xml:space="preserve">Leche especiada con anís estrellado, canela, clavo de olor, cúrcuma, jengibre y pimienta negra. Disponible en Amelí, Malargüe, Mendoza.</t>
  </si>
  <si>
    <t xml:space="preserve">Spiced milk with star anise, cinnamon, cloves, turmeric, ginger and black pepper. Available at Amelí in Malargüe, Mendoza.</t>
  </si>
  <si>
    <t xml:space="preserve">Leite aromatizado com anis-estrelado, canela, cravo, cúrcuma, gengibre e pimenta-do-reino. Disponível na Amelí, em Malargüe, Mendoza.</t>
  </si>
  <si>
    <t xml:space="preserve">Lait épicé à l’anis étoilé, à la cannelle, au clou de girofle, au curcuma, au gingembre et au poivre noir. À découvrir chez Amelí, à Malargüe, Mendoza.</t>
  </si>
  <si>
    <t xml:space="preserve">Latte speziato con anice stellato, cannella, chiodi di garofano, curcuma, zenzero e pepe nero. Disponibile da Amelí, a Malargüe, Mendoza.</t>
  </si>
  <si>
    <t xml:space="preserve">Americano de Amelí Casa de Té &amp; Brunch.</t>
  </si>
  <si>
    <t xml:space="preserve">Americano at Amelí Casa de Té &amp; Brunch.</t>
  </si>
  <si>
    <t xml:space="preserve">Café americano da Amelí Casa de Té &amp; Brunch.</t>
  </si>
  <si>
    <t xml:space="preserve">Café americano chez Amelí Casa de Té &amp; Brunch.</t>
  </si>
  <si>
    <t xml:space="preserve">Caffè americano da Amelí Casa de Té &amp; Brunch.</t>
  </si>
  <si>
    <t xml:space="preserve">americano</t>
  </si>
  <si>
    <t xml:space="preserve">cafe-americano</t>
  </si>
  <si>
    <t xml:space="preserve">caffe-americano</t>
  </si>
  <si>
    <t xml:space="preserve">Americano | Amelí</t>
  </si>
  <si>
    <t xml:space="preserve">Café americano | Amelí</t>
  </si>
  <si>
    <t xml:space="preserve">Caffè americano | Amelí</t>
  </si>
  <si>
    <t xml:space="preserve">Un shot de espresso suavizado con agua caliente. Disponible en Amelí, Malargüe, Mendoza.</t>
  </si>
  <si>
    <t xml:space="preserve">A shot of espresso lengthened with hot water. Available at Amelí in Malargüe, Mendoza.</t>
  </si>
  <si>
    <t xml:space="preserve">Uma dose de espresso suavizada com água quente. Disponível na Amelí, em Malargüe, Mendoza.</t>
  </si>
  <si>
    <t xml:space="preserve">Un espresso allongé avec de l’eau chaude. À découvrir chez Amelí, à Malargüe, Mendoza.</t>
  </si>
  <si>
    <t xml:space="preserve">Una dose di espresso allungata con acqua calda. Disponibile da Amelí, a Malargüe, Mendoza.</t>
  </si>
  <si>
    <t xml:space="preserve">Cortado de Amelí Casa de Té &amp; Brunch.</t>
  </si>
  <si>
    <t xml:space="preserve">Cortado at Amelí Casa de Té &amp; Brunch.</t>
  </si>
  <si>
    <t xml:space="preserve">Café cortado da Amelí Casa de Té &amp; Brunch.</t>
  </si>
  <si>
    <t xml:space="preserve">Cortado chez Amelí Casa de Té &amp; Brunch.</t>
  </si>
  <si>
    <t xml:space="preserve">Caffè macchiato lungo da Amelí Casa de Té &amp; Brunch.</t>
  </si>
  <si>
    <t xml:space="preserve">cortado</t>
  </si>
  <si>
    <t xml:space="preserve">cafe-cortado</t>
  </si>
  <si>
    <t xml:space="preserve">caffe-macchiato-lungo</t>
  </si>
  <si>
    <t xml:space="preserve">Cortado | Amelí</t>
  </si>
  <si>
    <t xml:space="preserve">Café cortado | Amelí</t>
  </si>
  <si>
    <t xml:space="preserve">Caffè macchiato lungo | Amelí</t>
  </si>
  <si>
    <t xml:space="preserve">Café espresso con un toque de leche caliente. Disponible en Amelí, Malargüe, Mendoza.</t>
  </si>
  <si>
    <t xml:space="preserve">Espresso with a small amount of hot milk. Available at Amelí in Malargüe, Mendoza.</t>
  </si>
  <si>
    <t xml:space="preserve">Espresso com um toque de leite quente. Disponível na Amelí, em Malargüe, Mendoza.</t>
  </si>
  <si>
    <t xml:space="preserve">Espresso avec une petite touche de lait chaud. À découvrir chez Amelí, à Malargüe, Mendoza.</t>
  </si>
  <si>
    <t xml:space="preserve">Espresso con una piccola quantità di latte caldo. Disponibile da Amelí, a Malargüe, Mendoza.</t>
  </si>
  <si>
    <t xml:space="preserve">Café con leche de Amelí Casa de Té &amp; Brunch.</t>
  </si>
  <si>
    <t xml:space="preserve">Café con Leche at Amelí Casa de Té &amp; Brunch.</t>
  </si>
  <si>
    <t xml:space="preserve">Café com leite da Amelí Casa de Té &amp; Brunch.</t>
  </si>
  <si>
    <t xml:space="preserve">Café au lait chez Amelí Casa de Té &amp; Brunch.</t>
  </si>
  <si>
    <t xml:space="preserve">Caffellatte da Amelí Casa de Té &amp; Brunch.</t>
  </si>
  <si>
    <t xml:space="preserve">cafe-con-leche</t>
  </si>
  <si>
    <t xml:space="preserve">cafe-com-leite</t>
  </si>
  <si>
    <t xml:space="preserve">cafe-au-lait</t>
  </si>
  <si>
    <t xml:space="preserve">caffellatte</t>
  </si>
  <si>
    <t xml:space="preserve">Café con leche | Amelí</t>
  </si>
  <si>
    <t xml:space="preserve">Café con Leche | Amelí</t>
  </si>
  <si>
    <t xml:space="preserve">Café com leite | Amelí</t>
  </si>
  <si>
    <t xml:space="preserve">Café au lait | Amelí</t>
  </si>
  <si>
    <t xml:space="preserve">Caffellatte | Amelí</t>
  </si>
  <si>
    <t xml:space="preserve">Mitad café y mitad leche caliente. Disponible en Amelí, Malargüe, Mendoza.</t>
  </si>
  <si>
    <t xml:space="preserve">Equal parts coffee and hot milk. Available at Amelí in Malargüe, Mendoza.</t>
  </si>
  <si>
    <t xml:space="preserve">Metade café e metade leite quente. Disponível na Amelí, em Malargüe, Mendoza.</t>
  </si>
  <si>
    <t xml:space="preserve">Moitié café, moitié lait chaud. À découvrir chez Amelí, à Malargüe, Mendoza.</t>
  </si>
  <si>
    <t xml:space="preserve">Metà caffè e metà latte caldo. Disponibile da Amelí, a Malargüe, Mendoza.</t>
  </si>
  <si>
    <t xml:space="preserve">Lágrima de Amelí Casa de Té &amp; Brunch.</t>
  </si>
  <si>
    <t xml:space="preserve">Lágrima Milk Coffee at Amelí Casa de Té &amp; Brunch.</t>
  </si>
  <si>
    <t xml:space="preserve">Café lágrima da Amelí Casa de Té &amp; Brunch.</t>
  </si>
  <si>
    <t xml:space="preserve">Lágrima chez Amelí Casa de Té &amp; Brunch.</t>
  </si>
  <si>
    <t xml:space="preserve">Caffè lágrima da Amelí Casa de Té &amp; Brunch.</t>
  </si>
  <si>
    <t xml:space="preserve">lagrima</t>
  </si>
  <si>
    <t xml:space="preserve">lagrima-milk-coffee</t>
  </si>
  <si>
    <t xml:space="preserve">cafe-lagrima</t>
  </si>
  <si>
    <t xml:space="preserve">caffe-lagrima</t>
  </si>
  <si>
    <t xml:space="preserve">Lágrima | Amelí</t>
  </si>
  <si>
    <t xml:space="preserve">Lágrima Milk Coffee | Amelí</t>
  </si>
  <si>
    <t xml:space="preserve">Café lágrima | Amelí</t>
  </si>
  <si>
    <t xml:space="preserve">Caffè lágrima | Amelí</t>
  </si>
  <si>
    <t xml:space="preserve">Leche caliente con apenas una lágrima de café. Disponible en Amelí, Malargüe, Mendoza.</t>
  </si>
  <si>
    <t xml:space="preserve">Hot milk with just a small dash of coffee. Available at Amelí in Malargüe, Mendoza.</t>
  </si>
  <si>
    <t xml:space="preserve">Leite quente com apenas um toque de café. Disponível na Amelí, em Malargüe, Mendoza.</t>
  </si>
  <si>
    <t xml:space="preserve">Lait chaud avec une très légère touche de café. À découvrir chez Amelí, à Malargüe, Mendoza.</t>
  </si>
  <si>
    <t xml:space="preserve">Latte caldo con appena un tocco di caffè. Disponibile da Amelí, a Malargüe, Mendoza.</t>
  </si>
  <si>
    <t xml:space="preserve">Macchiato de Amelí Casa de Té &amp; Brunch.</t>
  </si>
  <si>
    <t xml:space="preserve">Macchiato at Amelí Casa de Té &amp; Brunch.</t>
  </si>
  <si>
    <t xml:space="preserve">Macchiato da Amelí Casa de Té &amp; Brunch.</t>
  </si>
  <si>
    <t xml:space="preserve">Macchiato chez Amelí Casa de Té &amp; Brunch.</t>
  </si>
  <si>
    <t xml:space="preserve">macchiato</t>
  </si>
  <si>
    <t xml:space="preserve">Macchiato | Amelí</t>
  </si>
  <si>
    <t xml:space="preserve">Espresso coronado con una pequeña nube de espuma de leche. Disponible en Amelí, Malargüe, Mendoza.</t>
  </si>
  <si>
    <t xml:space="preserve">Espresso topped with a small cloud of milk foam. Available at Amelí in Malargüe, Mendoza.</t>
  </si>
  <si>
    <t xml:space="preserve">Espresso finalizado com uma pequena camada de espuma de leite. Disponível na Amelí, em Malargüe, Mendoza.</t>
  </si>
  <si>
    <t xml:space="preserve">Espresso surmonté d’un léger nuage de mousse de lait. À découvrir chez Amelí, à Malargüe, Mendoza.</t>
  </si>
  <si>
    <t xml:space="preserve">Espresso completato da una piccola nuvola di schiuma di latte. Disponibile da Amelí, a Malargüe, Mendoza.</t>
  </si>
  <si>
    <t xml:space="preserve">Cappuccino de Amelí Casa de Té &amp; Brunch.</t>
  </si>
  <si>
    <t xml:space="preserve">Cappuccino at Amelí Casa de Té &amp; Brunch.</t>
  </si>
  <si>
    <t xml:space="preserve">Cappuccino da Amelí Casa de Té &amp; Brunch.</t>
  </si>
  <si>
    <t xml:space="preserve">Cappuccino chez Amelí Casa de Té &amp; Brunch.</t>
  </si>
  <si>
    <t xml:space="preserve">cappuccino</t>
  </si>
  <si>
    <t xml:space="preserve">Cappuccino | Amelí</t>
  </si>
  <si>
    <t xml:space="preserve">Café, leche caliente y espuma de leche en partes iguales. Disponible en Amelí, Malargüe, Mendoza.</t>
  </si>
  <si>
    <t xml:space="preserve">Equal parts coffee, hot milk and milk foam. Available at Amelí in Malargüe, Mendoza.</t>
  </si>
  <si>
    <t xml:space="preserve">Café, leite quente e espuma de leite em partes iguais. Disponível na Amelí, em Malargüe, Mendoza.</t>
  </si>
  <si>
    <t xml:space="preserve">Café, lait chaud et mousse de lait en proportions égales. À découvrir chez Amelí, à Malargüe, Mendoza.</t>
  </si>
  <si>
    <t xml:space="preserve">Caffè, latte caldo e schiuma di latte in parti uguali. Disponibile da Amelí, a Malargüe, Mendoza.</t>
  </si>
  <si>
    <t xml:space="preserve">Moca de Amelí Casa de Té &amp; Brunch.</t>
  </si>
  <si>
    <t xml:space="preserve">Mocha at Amelí Casa de Té &amp; Brunch.</t>
  </si>
  <si>
    <t xml:space="preserve">Mocha da Amelí Casa de Té &amp; Brunch.</t>
  </si>
  <si>
    <t xml:space="preserve">Moka chez Amelí Casa de Té &amp; Brunch.</t>
  </si>
  <si>
    <t xml:space="preserve">Moka da Amelí Casa de Té &amp; Brunch.</t>
  </si>
  <si>
    <t xml:space="preserve">moca</t>
  </si>
  <si>
    <t xml:space="preserve">mocha</t>
  </si>
  <si>
    <t xml:space="preserve">moka</t>
  </si>
  <si>
    <t xml:space="preserve">Moca | Amelí</t>
  </si>
  <si>
    <t xml:space="preserve">Mocha | Amelí</t>
  </si>
  <si>
    <t xml:space="preserve">Moka | Amelí</t>
  </si>
  <si>
    <t xml:space="preserve">Café con chocolate, leche caliente y espuma de leche. Disponible en Amelí, Malargüe, Mendoza.</t>
  </si>
  <si>
    <t xml:space="preserve">Coffee with chocolate, hot milk and milk foam. Available at Amelí in Malargüe, Mendoza.</t>
  </si>
  <si>
    <t xml:space="preserve">Café com chocolate, leite quente e espuma de leite. Disponível na Amelí, em Malargüe, Mendoza.</t>
  </si>
  <si>
    <t xml:space="preserve">Café au chocolat, avec lait chaud et mousse de lait. À découvrir chez Amelí, à Malargüe, Mendoza.</t>
  </si>
  <si>
    <t xml:space="preserve">Caffè con cioccolato, latte caldo e schiuma di latte. Disponibile da Amelí, a Malargüe, Mendoza.</t>
  </si>
  <si>
    <t xml:space="preserve">Cold brew de Amelí Casa de Té &amp; Brunch.</t>
  </si>
  <si>
    <t xml:space="preserve">Cold Brew Coffee at Amelí Casa de Té &amp; Brunch.</t>
  </si>
  <si>
    <t xml:space="preserve">Cold brew da Amelí Casa de Té &amp; Brunch.</t>
  </si>
  <si>
    <t xml:space="preserve">Café cold brew chez Amelí Casa de Té &amp; Brunch.</t>
  </si>
  <si>
    <t xml:space="preserve">cold-brew</t>
  </si>
  <si>
    <t xml:space="preserve">cold-brew-coffee</t>
  </si>
  <si>
    <t xml:space="preserve">cafe-cold-brew</t>
  </si>
  <si>
    <t xml:space="preserve">Cold brew | Amelí</t>
  </si>
  <si>
    <t xml:space="preserve">Cold Brew Coffee | Amelí</t>
  </si>
  <si>
    <t xml:space="preserve">Café cold brew | Amelí</t>
  </si>
  <si>
    <t xml:space="preserve">Café infusionado lentamente en frío. Disponible en Amelí, Malargüe, Mendoza.</t>
  </si>
  <si>
    <t xml:space="preserve">Coffee slowly brewed in cold water. Available at Amelí in Malargüe, Mendoza.</t>
  </si>
  <si>
    <t xml:space="preserve">Café extraído lentamente a frio. Disponível na Amelí, em Malargüe, Mendoza.</t>
  </si>
  <si>
    <t xml:space="preserve">Café infusé lentement à froid. À découvrir chez Amelí, à Malargüe, Mendoza.</t>
  </si>
  <si>
    <t xml:space="preserve">Caffè estratto lentamente a freddo. Disponibile da Amelí, a Malargüe, Mendoza.</t>
  </si>
  <si>
    <t xml:space="preserve">Iced latte de Amelí Casa de Té &amp; Brunch.</t>
  </si>
  <si>
    <t xml:space="preserve">Iced Latte at Amelí Casa de Té &amp; Brunch.</t>
  </si>
  <si>
    <t xml:space="preserve">Iced latte da Amelí Casa de Té &amp; Brunch.</t>
  </si>
  <si>
    <t xml:space="preserve">Latte glacé chez Amelí Casa de Té &amp; Brunch.</t>
  </si>
  <si>
    <t xml:space="preserve">iced-latte</t>
  </si>
  <si>
    <t xml:space="preserve">latte-glace</t>
  </si>
  <si>
    <t xml:space="preserve">Iced latte | Amelí</t>
  </si>
  <si>
    <t xml:space="preserve">Iced Latte | Amelí</t>
  </si>
  <si>
    <t xml:space="preserve">Latte glacé | Amelí</t>
  </si>
  <si>
    <t xml:space="preserve">Un shot de espresso mezclado con leche fría y hielo. Disponible en Amelí, Malargüe, Mendoza.</t>
  </si>
  <si>
    <t xml:space="preserve">A shot of espresso mixed with cold milk and ice. Available at Amelí in Malargüe, Mendoza.</t>
  </si>
  <si>
    <t xml:space="preserve">Uma dose de espresso misturada com leite gelado e gelo. Disponível na Amelí, em Malargüe, Mendoza.</t>
  </si>
  <si>
    <t xml:space="preserve">Un espresso mélangé à du lait froid et à des glaçons. À découvrir chez Amelí, à Malargüe, Mendoza.</t>
  </si>
  <si>
    <t xml:space="preserve">Una dose di espresso miscelata con latte freddo e ghiaccio. Disponibile da Amelí, a Malargüe, Mendoza.</t>
  </si>
  <si>
    <t xml:space="preserve">Frappé de dulce de leche de Amelí Casa de Té &amp; Brunch.</t>
  </si>
  <si>
    <t xml:space="preserve">Dulce de Leche Coffee Frappé at Amelí Casa de Té &amp; Brunch.</t>
  </si>
  <si>
    <t xml:space="preserve">Frappé de café com doce de leite da Amelí Casa de Té &amp; Brunch.</t>
  </si>
  <si>
    <t xml:space="preserve">Café frappé au dulce de leche chez Amelí Casa de Té &amp; Brunch.</t>
  </si>
  <si>
    <t xml:space="preserve">Frappè al caffè e dulce de leche da Amelí Casa de Té &amp; Brunch.</t>
  </si>
  <si>
    <t xml:space="preserve">frappe-de-dulce-de-leche</t>
  </si>
  <si>
    <t xml:space="preserve">dulce-de-leche-coffee-frappe</t>
  </si>
  <si>
    <t xml:space="preserve">frappe-de-cafe-com-doce-de-leite</t>
  </si>
  <si>
    <t xml:space="preserve">cafe-frappe-au-dulce-de-leche</t>
  </si>
  <si>
    <t xml:space="preserve">frappe-al-caffe-e-dulce-de-leche</t>
  </si>
  <si>
    <t xml:space="preserve">Frappé de dulce de leche | Amelí</t>
  </si>
  <si>
    <t xml:space="preserve">Dulce de Leche Coffee Frappé | Amelí</t>
  </si>
  <si>
    <t xml:space="preserve">Frappé de café com doce de leite | Amelí</t>
  </si>
  <si>
    <t xml:space="preserve">Café frappé au dulce de leche | Amelí</t>
  </si>
  <si>
    <t xml:space="preserve">Frappè al caffè e dulce de leche | Amelí</t>
  </si>
  <si>
    <t xml:space="preserve">Café batido con leche, hielo y dulce de leche. Disponible en Amelí, Malargüe, Mendoza.</t>
  </si>
  <si>
    <t xml:space="preserve">Blended coffee with milk, ice and dulce de leche. Available at Amelí in Malargüe, Mendoza.</t>
  </si>
  <si>
    <t xml:space="preserve">Café batido com leite, gelo e doce de leite. Disponível na Amelí, em Malargüe, Mendoza.</t>
  </si>
  <si>
    <t xml:space="preserve">Café mixé avec du lait, des glaçons et du dulce de leche. À découvrir chez Amelí, à Malargüe, Mendoza.</t>
  </si>
  <si>
    <t xml:space="preserve">Caffè frullato con latte, ghiaccio e dulce de leche. Disponibile da Amelí, a Malargüe, Mendoza.</t>
  </si>
  <si>
    <t xml:space="preserve">Batido de banana de Amelí Casa de Té &amp; Brunch.</t>
  </si>
  <si>
    <t xml:space="preserve">Banana Smoothie at Amelí Casa de Té &amp; Brunch.</t>
  </si>
  <si>
    <t xml:space="preserve">Vitamina de banana da Amelí Casa de Té &amp; Brunch.</t>
  </si>
  <si>
    <t xml:space="preserve">Smoothie à la banane chez Amelí Casa de Té &amp; Brunch.</t>
  </si>
  <si>
    <t xml:space="preserve">Frullato alla banana da Amelí Casa de Té &amp; Brunch.</t>
  </si>
  <si>
    <t xml:space="preserve">batido-de-banana</t>
  </si>
  <si>
    <t xml:space="preserve">banana-smoothie</t>
  </si>
  <si>
    <t xml:space="preserve">vitamina-de-banana</t>
  </si>
  <si>
    <t xml:space="preserve">smoothie-a-la-banane</t>
  </si>
  <si>
    <t xml:space="preserve">frullato-alla-banana</t>
  </si>
  <si>
    <t xml:space="preserve">Batido de banana | Amelí</t>
  </si>
  <si>
    <t xml:space="preserve">Banana Smoothie | Amelí</t>
  </si>
  <si>
    <t xml:space="preserve">Vitamina de banana | Amelí</t>
  </si>
  <si>
    <t xml:space="preserve">Smoothie à la banane | Amelí</t>
  </si>
  <si>
    <t xml:space="preserve">Frullato alla banana | Amelí</t>
  </si>
  <si>
    <t xml:space="preserve">Batido cremoso de banana, disponible únicamente en vaso. Disponible en Amelí, Malargüe, Mendoza.</t>
  </si>
  <si>
    <t xml:space="preserve">A creamy banana smoothie, available by the glass only. Available at Amelí in Malargüe, Mendoza.</t>
  </si>
  <si>
    <t xml:space="preserve">Vitamina cremosa de banana, disponível somente em copo. Disponível na Amelí, em Malargüe, Mendoza.</t>
  </si>
  <si>
    <t xml:space="preserve">Smoothie crémeux à la banane, disponible uniquement au verre. À découvrir chez Amelí, à Malargüe, Mendoza.</t>
  </si>
  <si>
    <t xml:space="preserve">Frullato cremoso alla banana, disponibile solo al bicchiere. Disponibile da Amelí, a Malargüe, Mendoza.</t>
  </si>
  <si>
    <t xml:space="preserve">Batido de frutos rojos de Amelí Casa de Té &amp; Brunch.</t>
  </si>
  <si>
    <t xml:space="preserve">Red Berry Smoothie at Amelí Casa de Té &amp; Brunch.</t>
  </si>
  <si>
    <t xml:space="preserve">Vitamina de frutas vermelhas da Amelí Casa de Té &amp; Brunch.</t>
  </si>
  <si>
    <t xml:space="preserve">Smoothie aux fruits rouges chez Amelí Casa de Té &amp; Brunch.</t>
  </si>
  <si>
    <t xml:space="preserve">Frullato ai frutti rossi da Amelí Casa de Té &amp; Brunch.</t>
  </si>
  <si>
    <t xml:space="preserve">batido-de-frutos-rojos</t>
  </si>
  <si>
    <t xml:space="preserve">red-berry-smoothie</t>
  </si>
  <si>
    <t xml:space="preserve">vitamina-de-frutas-vermelhas</t>
  </si>
  <si>
    <t xml:space="preserve">smoothie-aux-fruits-rouges</t>
  </si>
  <si>
    <t xml:space="preserve">frullato-ai-frutti-rossi</t>
  </si>
  <si>
    <t xml:space="preserve">Batido de frutos rojos | Amelí</t>
  </si>
  <si>
    <t xml:space="preserve">Red Berry Smoothie | Amelí</t>
  </si>
  <si>
    <t xml:space="preserve">Vitamina de frutas vermelhas | Amelí</t>
  </si>
  <si>
    <t xml:space="preserve">Smoothie aux fruits rouges | Amelí</t>
  </si>
  <si>
    <t xml:space="preserve">Frullato ai frutti rossi | Amelí</t>
  </si>
  <si>
    <t xml:space="preserve">Frutos rojos combinados con jugo de naranja. Disponible en Amelí, Malargüe, Mendoza.</t>
  </si>
  <si>
    <t xml:space="preserve">Red berries blended with orange juice. Available at Amelí in Malargüe, Mendoza.</t>
  </si>
  <si>
    <t xml:space="preserve">Frutas vermelhas batidas com suco de laranja. Disponível na Amelí, em Malargüe, Mendoza.</t>
  </si>
  <si>
    <t xml:space="preserve">Fruits rouges mixés avec du jus d’orange. À découvrir chez Amelí, à Malargüe, Mendoza.</t>
  </si>
  <si>
    <t xml:space="preserve">Frutti rossi frullati con succo d’arancia. Disponibile da Amelí, a Malargüe, Mendoza.</t>
  </si>
  <si>
    <t xml:space="preserve">Limonada detox de Amelí Casa de Té &amp; Brunch.</t>
  </si>
  <si>
    <t xml:space="preserve">Detox Lemonade at Amelí Casa de Té &amp; Brunch.</t>
  </si>
  <si>
    <t xml:space="preserve">Limonada detox da Amelí Casa de Té &amp; Brunch.</t>
  </si>
  <si>
    <t xml:space="preserve">Citronnade détox chez Amelí Casa de Té &amp; Brunch.</t>
  </si>
  <si>
    <t xml:space="preserve">Limonata detox da Amelí Casa de Té &amp; Brunch.</t>
  </si>
  <si>
    <t xml:space="preserve">limonada-detox</t>
  </si>
  <si>
    <t xml:space="preserve">detox-lemonade</t>
  </si>
  <si>
    <t xml:space="preserve">citronnade-detox</t>
  </si>
  <si>
    <t xml:space="preserve">limonata-detox</t>
  </si>
  <si>
    <t xml:space="preserve">Limonada detox | Amelí</t>
  </si>
  <si>
    <t xml:space="preserve">Detox Lemonade | Amelí</t>
  </si>
  <si>
    <t xml:space="preserve">Citronnade détox | Amelí</t>
  </si>
  <si>
    <t xml:space="preserve">Limonata detox | Amelí</t>
  </si>
  <si>
    <t xml:space="preserve">Agua, semillas de chía, jengibre, limón y menta. Disponible en Amelí, Malargüe, Mendoza.</t>
  </si>
  <si>
    <t xml:space="preserve">Water, chia seeds, ginger, lemon and mint. Available at Amelí in Malargüe, Mendoza.</t>
  </si>
  <si>
    <t xml:space="preserve">Água, sementes de chia, gengibre, limão e hortelã. Disponível na Amelí, em Malargüe, Mendoza.</t>
  </si>
  <si>
    <t xml:space="preserve">Eau, graines de chia, gingembre, citron et menthe. À découvrir chez Amelí, à Malargüe, Mendoza.</t>
  </si>
  <si>
    <t xml:space="preserve">Acqua, semi di chia, zenzero, limone e menta. Disponibile da Amelí, a Malargüe, Mendoza.</t>
  </si>
  <si>
    <t xml:space="preserve">Limonada Jamaica de Amelí Casa de Té &amp; Brunch.</t>
  </si>
  <si>
    <t xml:space="preserve">Hibiscus Lemonade at Amelí Casa de Té &amp; Brunch.</t>
  </si>
  <si>
    <t xml:space="preserve">Limonada de hibisco da Amelí Casa de Té &amp; Brunch.</t>
  </si>
  <si>
    <t xml:space="preserve">Citronnade à l’hibiscus chez Amelí Casa de Té &amp; Brunch.</t>
  </si>
  <si>
    <t xml:space="preserve">Limonata all’ibisco da Amelí Casa de Té &amp; Brunch.</t>
  </si>
  <si>
    <t xml:space="preserve">limonada-jamaica</t>
  </si>
  <si>
    <t xml:space="preserve">hibiscus-lemonade</t>
  </si>
  <si>
    <t xml:space="preserve">limonada-de-hibisco</t>
  </si>
  <si>
    <t xml:space="preserve">citronnade-a-l-hibiscus</t>
  </si>
  <si>
    <t xml:space="preserve">limonata-all-ibisco</t>
  </si>
  <si>
    <t xml:space="preserve">Limonada Jamaica | Amelí</t>
  </si>
  <si>
    <t xml:space="preserve">Hibiscus Lemonade | Amelí</t>
  </si>
  <si>
    <t xml:space="preserve">Limonada de hibisco | Amelí</t>
  </si>
  <si>
    <t xml:space="preserve">Citronnade à l’hibiscus | Amelí</t>
  </si>
  <si>
    <t xml:space="preserve">Limonata all’ibisco | Amelí</t>
  </si>
  <si>
    <t xml:space="preserve">Agua, arándanos, hibisco y limón. Disponible en Amelí, Malargüe, Mendoza.</t>
  </si>
  <si>
    <t xml:space="preserve">Water, blueberries, hibiscus and lemon. Available at Amelí in Malargüe, Mendoza.</t>
  </si>
  <si>
    <t xml:space="preserve">Água, mirtilos, hibisco e limão. Disponível na Amelí, em Malargüe, Mendoza.</t>
  </si>
  <si>
    <t xml:space="preserve">Eau, myrtilles, hibiscus et citron. À découvrir chez Amelí, à Malargüe, Mendoza.</t>
  </si>
  <si>
    <t xml:space="preserve">Acqua, mirtilli, ibisco e limone. Disponibile da Amelí, a Malargüe, Mendoza.</t>
  </si>
  <si>
    <t xml:space="preserve">Jugo de naranja de Amelí Casa de Té &amp; Brunch.</t>
  </si>
  <si>
    <t xml:space="preserve">Fresh Orange Juice at Amelí Casa de Té &amp; Brunch.</t>
  </si>
  <si>
    <t xml:space="preserve">Suco de laranja natural da Amelí Casa de Té &amp; Brunch.</t>
  </si>
  <si>
    <t xml:space="preserve">Jus d’orange pressé chez Amelí Casa de Té &amp; Brunch.</t>
  </si>
  <si>
    <t xml:space="preserve">Spremuta d’arancia da Amelí Casa de Té &amp; Brunch.</t>
  </si>
  <si>
    <t xml:space="preserve">jugo-de-naranja</t>
  </si>
  <si>
    <t xml:space="preserve">fresh-orange-juice</t>
  </si>
  <si>
    <t xml:space="preserve">suco-de-laranja-natural</t>
  </si>
  <si>
    <t xml:space="preserve">jus-d-orange-presse</t>
  </si>
  <si>
    <t xml:space="preserve">spremuta-d-arancia</t>
  </si>
  <si>
    <t xml:space="preserve">Jugo de naranja | Amelí</t>
  </si>
  <si>
    <t xml:space="preserve">Fresh Orange Juice | Amelí</t>
  </si>
  <si>
    <t xml:space="preserve">Suco de laranja natural | Amelí</t>
  </si>
  <si>
    <t xml:space="preserve">Jus d’orange pressé | Amelí</t>
  </si>
  <si>
    <t xml:space="preserve">Spremuta d’arancia | Amelí</t>
  </si>
  <si>
    <t xml:space="preserve">Jugo de naranja exprimido, disponible únicamente en vaso. Disponible en Amelí, Malargüe, Mendoza.</t>
  </si>
  <si>
    <t xml:space="preserve">Freshly squeezed orange juice, available by the glass only. Available at Amelí in Malargüe, Mendoza.</t>
  </si>
  <si>
    <t xml:space="preserve">Suco de laranja espremido na hora, disponível somente em copo. Disponível na Amelí, em Malargüe, Mendoza.</t>
  </si>
  <si>
    <t xml:space="preserve">Jus d’orange fraîchement pressé, disponible uniquement au verre. À découvrir chez Amelí, à Malargüe, Mendoza.</t>
  </si>
  <si>
    <t xml:space="preserve">Spremuta d’arancia fresca, disponibile solo al bicchiere. Disponibile da Amelí, a Malargüe, Mendoza.</t>
  </si>
  <si>
    <t xml:space="preserve">Tropical de Amelí Casa de Té &amp; Brunch.</t>
  </si>
  <si>
    <t xml:space="preserve">Tropical Smoothie at Amelí Casa de Té &amp; Brunch.</t>
  </si>
  <si>
    <t xml:space="preserve">Smoothie tropical da Amelí Casa de Té &amp; Brunch.</t>
  </si>
  <si>
    <t xml:space="preserve">Smoothie tropical chez Amelí Casa de Té &amp; Brunch.</t>
  </si>
  <si>
    <t xml:space="preserve">Frullato tropicale da Amelí Casa de Té &amp; Brunch.</t>
  </si>
  <si>
    <t xml:space="preserve">tropical</t>
  </si>
  <si>
    <t xml:space="preserve">tropical-smoothie</t>
  </si>
  <si>
    <t xml:space="preserve">smoothie-tropical</t>
  </si>
  <si>
    <t xml:space="preserve">frullato-tropicale</t>
  </si>
  <si>
    <t xml:space="preserve">Tropical | Amelí</t>
  </si>
  <si>
    <t xml:space="preserve">Tropical Smoothie | Amelí</t>
  </si>
  <si>
    <t xml:space="preserve">Smoothie tropical | Amelí</t>
  </si>
  <si>
    <t xml:space="preserve">Frullato tropicale | Amelí</t>
  </si>
  <si>
    <t xml:space="preserve">Mango, maracuyá, ananá y naranja. Disponible en Amelí, Malargüe, Mendoza.</t>
  </si>
  <si>
    <t xml:space="preserve">Mango, passion fruit, pineapple and orange. Available at Amelí in Malargüe, Mendoza.</t>
  </si>
  <si>
    <t xml:space="preserve">Manga, maracujá, abacaxi e laranja. Disponível na Amelí, em Malargüe, Mendoza.</t>
  </si>
  <si>
    <t xml:space="preserve">Mangue, fruit de la passion, ananas et orange. À découvrir chez Amelí, à Malargüe, Mendoza.</t>
  </si>
  <si>
    <t xml:space="preserve">Mango, frutto della passione, ananas e arancia. Disponibile da Amelí, a Malargüe, Mendoza.</t>
  </si>
  <si>
    <t xml:space="preserve">Leche vegetal de Amelí Casa de Té &amp; Brunch.</t>
  </si>
  <si>
    <t xml:space="preserve">Plant-Based Milk at Amelí Casa de Té &amp; Brunch.</t>
  </si>
  <si>
    <t xml:space="preserve">Bebida vegetal da Amelí Casa de Té &amp; Brunch.</t>
  </si>
  <si>
    <t xml:space="preserve">Boisson végétale chez Amelí Casa de Té &amp; Brunch.</t>
  </si>
  <si>
    <t xml:space="preserve">Bevanda vegetale da Amelí Casa de Té &amp; Brunch.</t>
  </si>
  <si>
    <t xml:space="preserve">leche-vegetal</t>
  </si>
  <si>
    <t xml:space="preserve">plant-based-milk</t>
  </si>
  <si>
    <t xml:space="preserve">bebida-vegetal</t>
  </si>
  <si>
    <t xml:space="preserve">boisson-vegetale</t>
  </si>
  <si>
    <t xml:space="preserve">bevanda-vegetale</t>
  </si>
  <si>
    <t xml:space="preserve">Leche vegetal | Amelí</t>
  </si>
  <si>
    <t xml:space="preserve">Plant-Based Milk | Amelí</t>
  </si>
  <si>
    <t xml:space="preserve">Bebida vegetal | Amelí</t>
  </si>
  <si>
    <t xml:space="preserve">Boisson végétale | Amelí</t>
  </si>
  <si>
    <t xml:space="preserve">Bevanda vegetale | Amelí</t>
  </si>
  <si>
    <t xml:space="preserve">Opción para reemplazar la leche tradicional. Consultar las variedades disponibles. Disponible en Amelí, Malargüe, Mendoza.</t>
  </si>
  <si>
    <t xml:space="preserve">An alternative to dairy milk. Please ask which varieties are available. Available at Amelí in Malargüe, Mendoza.</t>
  </si>
  <si>
    <t xml:space="preserve">Opção para substituir o leite tradicional. Consulte as variedades disponíveis. Disponível na Amelí, em Malargüe, Mendoza.</t>
  </si>
  <si>
    <t xml:space="preserve">Alternative au lait traditionnel. Merci de demander les variétés disponibles. À découvrir chez Amelí, à Malargüe, Mendoza.</t>
  </si>
  <si>
    <t xml:space="preserve">Alternativa al latte tradizionale. Chiedere le varietà disponibili. Disponibile da Amelí, a Malargüe, Mendoza.</t>
  </si>
  <si>
    <t xml:space="preserve">Leche sin lactosa de Amelí Casa de Té &amp; Brunch.</t>
  </si>
  <si>
    <t xml:space="preserve">Lactose-Free Milk at Amelí Casa de Té &amp; Brunch.</t>
  </si>
  <si>
    <t xml:space="preserve">Leite sem lactose da Amelí Casa de Té &amp; Brunch.</t>
  </si>
  <si>
    <t xml:space="preserve">Lait sans lactose chez Amelí Casa de Té &amp; Brunch.</t>
  </si>
  <si>
    <t xml:space="preserve">Latte senza lattosio da Amelí Casa de Té &amp; Brunch.</t>
  </si>
  <si>
    <t xml:space="preserve">leche-sin-lactosa</t>
  </si>
  <si>
    <t xml:space="preserve">lactose-free-milk</t>
  </si>
  <si>
    <t xml:space="preserve">leite-sem-lactose</t>
  </si>
  <si>
    <t xml:space="preserve">lait-sans-lactose</t>
  </si>
  <si>
    <t xml:space="preserve">latte-senza-lattosio</t>
  </si>
  <si>
    <t xml:space="preserve">Leche sin lactosa | Amelí</t>
  </si>
  <si>
    <t xml:space="preserve">Lactose-Free Milk | Amelí</t>
  </si>
  <si>
    <t xml:space="preserve">Leite sem lactose | Amelí</t>
  </si>
  <si>
    <t xml:space="preserve">Lait sans lactose | Amelí</t>
  </si>
  <si>
    <t xml:space="preserve">Latte senza lattosio | Amelí</t>
  </si>
  <si>
    <t xml:space="preserve">Opción de leche sin lactosa para personalizar bebidas. Disponible en Amelí, Malargüe, Mendoza.</t>
  </si>
  <si>
    <t xml:space="preserve">Lactose-free milk available for customising drinks. Available at Amelí in Malargüe, Mendoza.</t>
  </si>
  <si>
    <t xml:space="preserve">Opção de leite sem lactose para personalizar bebidas. Disponível na Amelí, em Malargüe, Mendoza.</t>
  </si>
  <si>
    <t xml:space="preserve">Option de lait sans lactose pour personnaliser les boissons. À découvrir chez Amelí, à Malargüe, Mendoza.</t>
  </si>
  <si>
    <t xml:space="preserve">Opzione di latte senza lattosio per personalizzare le bevande. Disponibile da Amelí, a Malargüe, Mendoza.</t>
  </si>
  <si>
    <t xml:space="preserve">Postres sin TACC de Amelí Casa de Té &amp; Brunch.</t>
  </si>
  <si>
    <t xml:space="preserve">Gluten-Free Desserts at Amelí Casa de Té &amp; Brunch.</t>
  </si>
  <si>
    <t xml:space="preserve">Sobremesas sem glúten da Amelí Casa de Té &amp; Brunch.</t>
  </si>
  <si>
    <t xml:space="preserve">Desserts sans gluten chez Amelí Casa de Té &amp; Brunch.</t>
  </si>
  <si>
    <t xml:space="preserve">Dolci senza glutine da Amelí Casa de Té &amp; Brunch.</t>
  </si>
  <si>
    <t xml:space="preserve">postres-sin-tacc</t>
  </si>
  <si>
    <t xml:space="preserve">gluten-free-desserts</t>
  </si>
  <si>
    <t xml:space="preserve">sobremesas-sem-gluten</t>
  </si>
  <si>
    <t xml:space="preserve">desserts-sans-gluten</t>
  </si>
  <si>
    <t xml:space="preserve">dolci-senza-glutine</t>
  </si>
  <si>
    <t xml:space="preserve">Postres sin TACC | Amelí</t>
  </si>
  <si>
    <t xml:space="preserve">Gluten-Free Desserts | Amelí</t>
  </si>
  <si>
    <t xml:space="preserve">Sobremesas sem glúten | Amelí</t>
  </si>
  <si>
    <t xml:space="preserve">Desserts sans gluten | Amelí</t>
  </si>
  <si>
    <t xml:space="preserve">Dolci senza glutine | Amelí</t>
  </si>
  <si>
    <t xml:space="preserve">Selección según disponibilidad: cheesecake, lemon pie o chocotorta. Producto tercerizado. Consultar disponibilidad y condiciones de manipulación antes de…</t>
  </si>
  <si>
    <t xml:space="preserve">Selection subject to availability: cheesecake, lemon pie or chocotorta. Supplied by a third party. Please ask about availability and handling conditions…</t>
  </si>
  <si>
    <t xml:space="preserve">Seleção conforme disponibilidade: cheesecake, lemon pie ou chocotorta. Produto terceirizado. Consulte a disponibilidade e as condições de manipulação…</t>
  </si>
  <si>
    <t xml:space="preserve">Sélection selon disponibilité : cheesecake, tarte au citron ou chocotorta. Produit fourni par un tiers. Merci de vérifier la disponibilité et les…</t>
  </si>
  <si>
    <t xml:space="preserve">Selezione secondo disponibilità: cheesecake, lemon pie o chocotorta. Prodotto fornito da terzi. Verificare disponibilità e condizioni di manipolazione…</t>
  </si>
  <si>
    <t xml:space="preserve">Pasta frola sin TACC de Amelí Casa de Té &amp; Brunch.</t>
  </si>
  <si>
    <t xml:space="preserve">Gluten-Free Quince Tart at Amelí Casa de Té &amp; Brunch.</t>
  </si>
  <si>
    <t xml:space="preserve">Pasta frola sem glúten da Amelí Casa de Té &amp; Brunch.</t>
  </si>
  <si>
    <t xml:space="preserve">Tarte à la pâte de coing sans gluten chez Amelí Casa de Té &amp; Brunch.</t>
  </si>
  <si>
    <t xml:space="preserve">Crostata di mele cotogne senza glutine da Amelí Casa de Té &amp; Brunch.</t>
  </si>
  <si>
    <t xml:space="preserve">pasta-frola-sin-tacc</t>
  </si>
  <si>
    <t xml:space="preserve">gluten-free-quince-tart</t>
  </si>
  <si>
    <t xml:space="preserve">pasta-frola-sem-gluten</t>
  </si>
  <si>
    <t xml:space="preserve">tarte-a-la-pate-de-coing-sans-gluten</t>
  </si>
  <si>
    <t xml:space="preserve">crostata-di-mele-cotogne-senza-glutine</t>
  </si>
  <si>
    <t xml:space="preserve">Pasta frola sin TACC | Amelí</t>
  </si>
  <si>
    <t xml:space="preserve">Gluten-Free Quince Tart | Amelí</t>
  </si>
  <si>
    <t xml:space="preserve">Pasta frola sem glúten | Amelí</t>
  </si>
  <si>
    <t xml:space="preserve">Tarte à la pâte de coing sans gluten | Amelí</t>
  </si>
  <si>
    <t xml:space="preserve">Crostata di mele cotogne senza glutine | Amelí</t>
  </si>
  <si>
    <t xml:space="preserve">Tarta clásica rellena con dulce de membrillo. Producto tercerizado. Consultar disponibilidad y condiciones de manipulación antes de realizar el pedido.…</t>
  </si>
  <si>
    <t xml:space="preserve">A classic tart filled with quince paste. Supplied by a third party. Please ask about availability and handling conditions before ordering. Available at…</t>
  </si>
  <si>
    <t xml:space="preserve">Torta clássica recheada com doce de marmelo. Produto terceirizado. Consulte a disponibilidade e as condições de manipulação antes de fazer o pedido.…</t>
  </si>
  <si>
    <t xml:space="preserve">Tarte classique garnie de pâte de coing. Produit fourni par un tiers. Merci de vérifier la disponibilité et les conditions de manipulation avant de…</t>
  </si>
  <si>
    <t xml:space="preserve">Crostata classica farcita con confettura di mele cotogne. Prodotto fornito da terzi. Verificare disponibilità e condizioni di manipolazione prima di…</t>
  </si>
  <si>
    <t xml:space="preserve">Tarta de coco y dulce de leche sin TACC de Amelí Casa de Té &amp; Brunch.</t>
  </si>
  <si>
    <t xml:space="preserve">Gluten-Free Coconut &amp; Dulce de Leche Tart at Amelí Casa de Té &amp; Brunch.</t>
  </si>
  <si>
    <t xml:space="preserve">Torta de coco e doce de leite sem glúten da Amelí Casa de Té &amp; Brunch.</t>
  </si>
  <si>
    <t xml:space="preserve">Tarte coco et dulce de leche sans gluten chez Amelí Casa de Té &amp; Brunch.</t>
  </si>
  <si>
    <t xml:space="preserve">Torta al cocco e dulce de leche senza glutine da Amelí Casa de Té &amp; Brunch.</t>
  </si>
  <si>
    <t xml:space="preserve">tarta-de-coco-y-dulce-de-leche-sin-tacc</t>
  </si>
  <si>
    <t xml:space="preserve">gluten-free-coconut-y-dulce-de-leche-tart</t>
  </si>
  <si>
    <t xml:space="preserve">torta-de-coco-e-doce-de-leite-sem-gluten</t>
  </si>
  <si>
    <t xml:space="preserve">tarte-coco-et-dulce-de-leche-sans-gluten</t>
  </si>
  <si>
    <t xml:space="preserve">torta-al-cocco-e-dulce-de-leche-senza-glutine</t>
  </si>
  <si>
    <t xml:space="preserve">Tarta de coco y dulce de leche sin TACC | Amelí</t>
  </si>
  <si>
    <t xml:space="preserve">Gluten-Free Coconut &amp; Dulce de Leche Tart | Amelí</t>
  </si>
  <si>
    <t xml:space="preserve">Torta de coco e doce de leite sem glúten | Amelí</t>
  </si>
  <si>
    <t xml:space="preserve">Tarte coco et dulce de leche sans gluten | Amelí</t>
  </si>
  <si>
    <t xml:space="preserve">Torta al cocco e dulce de leche senza glutine | Amelí</t>
  </si>
  <si>
    <t xml:space="preserve">Base de masa dulce, rellena con dulce de leche y cubierta de coco. Producto tercerizado. Consultar disponibilidad y condiciones de manipulación antes de…</t>
  </si>
  <si>
    <t xml:space="preserve">A sweet pastry base filled with dulce de leche and topped with coconut. Supplied by a third party. Please ask about availability and handling conditions…</t>
  </si>
  <si>
    <t xml:space="preserve">Base de massa doce, recheada com doce de leite e coberta com coco. Produto terceirizado. Consulte a disponibilidade e as condições de manipulação antes de…</t>
  </si>
  <si>
    <t xml:space="preserve">Fond de pâte sucrée garni de dulce de leche et recouvert de noix de coco. Produit fourni par un tiers. Merci de vérifier la disponibilité et les…</t>
  </si>
  <si>
    <t xml:space="preserve">Base di pasta dolce farcita con dulce de leche e ricoperta di cocco. Prodotto fornito da terzi. Verificare disponibilità e condizioni di manipolazione…</t>
  </si>
  <si>
    <t xml:space="preserve">Alfacookie sin TACC de Amelí Casa de Té &amp; Brunch.</t>
  </si>
  <si>
    <t xml:space="preserve">Gluten-Free Alfacookie at Amelí Casa de Té &amp; Brunch.</t>
  </si>
  <si>
    <t xml:space="preserve">Alfacookie sem glúten da Amelí Casa de Té &amp; Brunch.</t>
  </si>
  <si>
    <t xml:space="preserve">Alfacookie sans gluten chez Amelí Casa de Té &amp; Brunch.</t>
  </si>
  <si>
    <t xml:space="preserve">Alfacookie senza glutine da Amelí Casa de Té &amp; Brunch.</t>
  </si>
  <si>
    <t xml:space="preserve">alfacookie-sin-tacc</t>
  </si>
  <si>
    <t xml:space="preserve">gluten-free-alfacookie</t>
  </si>
  <si>
    <t xml:space="preserve">alfacookie-sem-gluten</t>
  </si>
  <si>
    <t xml:space="preserve">alfacookie-sans-gluten</t>
  </si>
  <si>
    <t xml:space="preserve">alfacookie-senza-glutine</t>
  </si>
  <si>
    <t xml:space="preserve">Alfacookie sin TACC | Amelí</t>
  </si>
  <si>
    <t xml:space="preserve">Gluten-Free Alfacookie | Amelí</t>
  </si>
  <si>
    <t xml:space="preserve">Alfacookie sem glúten | Amelí</t>
  </si>
  <si>
    <t xml:space="preserve">Alfacookie sans gluten | Amelí</t>
  </si>
  <si>
    <t xml:space="preserve">Alfacookie senza glutine | Amelí</t>
  </si>
  <si>
    <t xml:space="preserve">Dos cookies rellenas con dulce de leche. Producto tercerizado. Consultar disponibilidad y condiciones de manipulación antes de realizar el pedido.…</t>
  </si>
  <si>
    <t xml:space="preserve">Two cookies filled with dulce de leche. Supplied by a third party. Please ask about availability and handling conditions before ordering. Available at…</t>
  </si>
  <si>
    <t xml:space="preserve">Duas cookies recheadas com doce de leite. Produto terceirizado. Consulte a disponibilidade e as condições de manipulação antes de fazer o pedido.…</t>
  </si>
  <si>
    <t xml:space="preserve">Deux cookies garnis de dulce de leche. Produit fourni par un tiers. Merci de vérifier la disponibilité et les conditions de manipulation avant de…</t>
  </si>
  <si>
    <t xml:space="preserve">Due cookies farciti con dulce de leche. Prodotto fornito da terzi. Verificare disponibilità e condizioni di manipolazione prima di ordinare. Disponibile…</t>
  </si>
  <si>
    <t xml:space="preserve">Torta Amelí de Amelí Casa de Té &amp; Brunch.</t>
  </si>
  <si>
    <t xml:space="preserve">Amelí Signature Cake at Amelí Casa de Té &amp; Brunch.</t>
  </si>
  <si>
    <t xml:space="preserve">Bolo assinatura Amelí da Amelí Casa de Té &amp; Brunch.</t>
  </si>
  <si>
    <t xml:space="preserve">Gâteau signature Amelí chez Amelí Casa de Té &amp; Brunch.</t>
  </si>
  <si>
    <t xml:space="preserve">Torta firma Amelí da Amelí Casa de Té &amp; Brunch.</t>
  </si>
  <si>
    <t xml:space="preserve">torta-ameli</t>
  </si>
  <si>
    <t xml:space="preserve">ameli-signature-cake</t>
  </si>
  <si>
    <t xml:space="preserve">bolo-assinatura-ameli</t>
  </si>
  <si>
    <t xml:space="preserve">gateau-signature-ameli</t>
  </si>
  <si>
    <t xml:space="preserve">torta-firma-ameli</t>
  </si>
  <si>
    <t xml:space="preserve">Torta Amelí | Amelí</t>
  </si>
  <si>
    <t xml:space="preserve">Amelí Signature Cake | Amelí</t>
  </si>
  <si>
    <t xml:space="preserve">Bolo assinatura Amelí | Amelí</t>
  </si>
  <si>
    <t xml:space="preserve">Gâteau signature Amelí | Amelí</t>
  </si>
  <si>
    <t xml:space="preserve">Torta firma Amelí | Amelí</t>
  </si>
  <si>
    <t xml:space="preserve">Bizcochuelo de vainilla relleno con ganache de chocolate blanco, limón, nueces y leche condensada. Disponible en Amelí, Malargüe, Mendoza.</t>
  </si>
  <si>
    <t xml:space="preserve">Vanilla sponge layered with white chocolate ganache, lemon, walnuts and condensed milk. Available at Amelí in Malargüe, Mendoza.</t>
  </si>
  <si>
    <t xml:space="preserve">Pão de ló de baunilha recheado com ganache de chocolate branco, limão, nozes e leite condensado. Disponível na Amelí, em Malargüe, Mendoza.</t>
  </si>
  <si>
    <t xml:space="preserve">Génoise à la vanille garnie de ganache au chocolat blanc, citron, noix et lait concentré. À découvrir chez Amelí, à Malargüe, Mendoza.</t>
  </si>
  <si>
    <t xml:space="preserve">Pan di Spagna alla vaniglia farcito con ganache al cioccolato bianco, limone, noci e latte condensato. Disponibile da Amelí, a Malargüe, Mendoza.</t>
  </si>
  <si>
    <t xml:space="preserve">Marquise de Amelí Casa de Té &amp; Brunch.</t>
  </si>
  <si>
    <t xml:space="preserve">Chocolate Marquise Cake at Amelí Casa de Té &amp; Brunch.</t>
  </si>
  <si>
    <t xml:space="preserve">Bolo marquise de chocolate da Amelí Casa de Té &amp; Brunch.</t>
  </si>
  <si>
    <t xml:space="preserve">Gâteau marquise au chocolat chez Amelí Casa de Té &amp; Brunch.</t>
  </si>
  <si>
    <t xml:space="preserve">Torta marquise al cioccolato da Amelí Casa de Té &amp; Brunch.</t>
  </si>
  <si>
    <t xml:space="preserve">marquise</t>
  </si>
  <si>
    <t xml:space="preserve">chocolate-marquise-cake</t>
  </si>
  <si>
    <t xml:space="preserve">bolo-marquise-de-chocolate</t>
  </si>
  <si>
    <t xml:space="preserve">gateau-marquise-au-chocolat</t>
  </si>
  <si>
    <t xml:space="preserve">torta-marquise-al-cioccolato</t>
  </si>
  <si>
    <t xml:space="preserve">Marquise | Amelí</t>
  </si>
  <si>
    <t xml:space="preserve">Chocolate Marquise Cake | Amelí</t>
  </si>
  <si>
    <t xml:space="preserve">Bolo marquise de chocolate | Amelí</t>
  </si>
  <si>
    <t xml:space="preserve">Gâteau marquise au chocolat | Amelí</t>
  </si>
  <si>
    <t xml:space="preserve">Torta marquise al cioccolato | Amelí</t>
  </si>
  <si>
    <t xml:space="preserve">Bizcochuelo de chocolate cubierto con dulce de leche, crema chantilly y frutos rojos. Disponible en Amelí, Malargüe, Mendoza.</t>
  </si>
  <si>
    <t xml:space="preserve">Chocolate sponge topped with dulce de leche, whipped cream and red berries. Available at Amelí in Malargüe, Mendoza.</t>
  </si>
  <si>
    <t xml:space="preserve">Pão de ló de chocolate coberto com doce de leite, chantilly e frutas vermelhas. Disponível na Amelí, em Malargüe, Mendoza.</t>
  </si>
  <si>
    <t xml:space="preserve">Génoise au chocolat garnie de dulce de leche, de crème chantilly et de fruits rouges. À découvrir chez Amelí, à Malargüe, Mendoza.</t>
  </si>
  <si>
    <t xml:space="preserve">Pan di Spagna al cioccolato ricoperto di dulce de leche, panna montata e frutti rossi. Disponibile da Amelí, a Malargüe, Mendoza.</t>
  </si>
  <si>
    <t xml:space="preserve">Cheesecake de frutos rojos de Amelí Casa de Té &amp; Brunch.</t>
  </si>
  <si>
    <t xml:space="preserve">Red Berry Cheesecake at Amelí Casa de Té &amp; Brunch.</t>
  </si>
  <si>
    <t xml:space="preserve">Cheesecake de frutas vermelhas da Amelí Casa de Té &amp; Brunch.</t>
  </si>
  <si>
    <t xml:space="preserve">Cheesecake aux fruits rouges chez Amelí Casa de Té &amp; Brunch.</t>
  </si>
  <si>
    <t xml:space="preserve">Cheesecake ai frutti rossi da Amelí Casa de Té &amp; Brunch.</t>
  </si>
  <si>
    <t xml:space="preserve">cheesecake-de-frutos-rojos</t>
  </si>
  <si>
    <t xml:space="preserve">red-berry-cheesecake</t>
  </si>
  <si>
    <t xml:space="preserve">cheesecake-de-frutas-vermelhas</t>
  </si>
  <si>
    <t xml:space="preserve">cheesecake-aux-fruits-rouges</t>
  </si>
  <si>
    <t xml:space="preserve">cheesecake-ai-frutti-rossi</t>
  </si>
  <si>
    <t xml:space="preserve">Cheesecake de frutos rojos | Amelí</t>
  </si>
  <si>
    <t xml:space="preserve">Red Berry Cheesecake | Amelí</t>
  </si>
  <si>
    <t xml:space="preserve">Cheesecake de frutas vermelhas | Amelí</t>
  </si>
  <si>
    <t xml:space="preserve">Cheesecake aux fruits rouges | Amelí</t>
  </si>
  <si>
    <t xml:space="preserve">Cheesecake ai frutti rossi | Amelí</t>
  </si>
  <si>
    <t xml:space="preserve">Base de galletas crocantes, crema suave de queso y cobertura de salsa de frutos rojos. Disponible en Amelí, Malargüe, Mendoza.</t>
  </si>
  <si>
    <t xml:space="preserve">A crisp biscuit base with smooth cream cheese filling and red berry sauce. Available at Amelí in Malargüe, Mendoza.</t>
  </si>
  <si>
    <t xml:space="preserve">Base crocante de biscoitos, creme suave de queijo e cobertura de calda de frutas vermelhas. Disponível na Amelí, em Malargüe, Mendoza.</t>
  </si>
  <si>
    <t xml:space="preserve">Base biscuitée croustillante, crème onctueuse au fromage et coulis de fruits rouges. À découvrir chez Amelí, à Malargüe, Mendoza.</t>
  </si>
  <si>
    <t xml:space="preserve">Base croccante di biscotti, crema morbida al formaggio e salsa ai frutti rossi. Disponibile da Amelí, a Malargüe, Mendoza.</t>
  </si>
  <si>
    <t xml:space="preserve">Red velvet de Amelí Casa de Té &amp; Brunch.</t>
  </si>
  <si>
    <t xml:space="preserve">Red Velvet Cake at Amelí Casa de Té &amp; Brunch.</t>
  </si>
  <si>
    <t xml:space="preserve">Bolo red velvet da Amelí Casa de Té &amp; Brunch.</t>
  </si>
  <si>
    <t xml:space="preserve">Gâteau red velvet chez Amelí Casa de Té &amp; Brunch.</t>
  </si>
  <si>
    <t xml:space="preserve">Torta red velvet da Amelí Casa de Té &amp; Brunch.</t>
  </si>
  <si>
    <t xml:space="preserve">red-velvet</t>
  </si>
  <si>
    <t xml:space="preserve">red-velvet-cake</t>
  </si>
  <si>
    <t xml:space="preserve">bolo-red-velvet</t>
  </si>
  <si>
    <t xml:space="preserve">gateau-red-velvet</t>
  </si>
  <si>
    <t xml:space="preserve">torta-red-velvet</t>
  </si>
  <si>
    <t xml:space="preserve">Red velvet | Amelí</t>
  </si>
  <si>
    <t xml:space="preserve">Red Velvet Cake | Amelí</t>
  </si>
  <si>
    <t xml:space="preserve">Bolo red velvet | Amelí</t>
  </si>
  <si>
    <t xml:space="preserve">Gâteau red velvet | Amelí</t>
  </si>
  <si>
    <t xml:space="preserve">Torta red velvet | Amelí</t>
  </si>
  <si>
    <t xml:space="preserve">Torta suave de cacao rojo, rellena y cubierta con crema de queso y frutillas. Disponible en Amelí, Malargüe, Mendoza.</t>
  </si>
  <si>
    <t xml:space="preserve">A soft red cocoa cake filled and covered with cream cheese frosting and strawberries. Available at Amelí in Malargüe, Mendoza.</t>
  </si>
  <si>
    <t xml:space="preserve">Bolo macio de cacau vermelho, recheado e coberto com creme de queijo e morangos. Disponível na Amelí, em Malargüe, Mendoza.</t>
  </si>
  <si>
    <t xml:space="preserve">Gâteau moelleux au cacao rouge, garni et recouvert de crème au fromage et de fraises. À découvrir chez Amelí, à Malargüe, Mendoza.</t>
  </si>
  <si>
    <t xml:space="preserve">Torta soffice al cacao rosso, farcita e ricoperta di crema al formaggio e fragole. Disponibile da Amelí, a Malargüe, Mendoza.</t>
  </si>
  <si>
    <t xml:space="preserve">Key lime pie de Amelí Casa de Té &amp; Brunch.</t>
  </si>
  <si>
    <t xml:space="preserve">Key Lime Pie at Amelí Casa de Té &amp; Brunch.</t>
  </si>
  <si>
    <t xml:space="preserve">Key lime pie da Amelí Casa de Té &amp; Brunch.</t>
  </si>
  <si>
    <t xml:space="preserve">Tarte au citron vert chez Amelí Casa de Té &amp; Brunch.</t>
  </si>
  <si>
    <t xml:space="preserve">key-lime-pie</t>
  </si>
  <si>
    <t xml:space="preserve">tarte-au-citron-vert</t>
  </si>
  <si>
    <t xml:space="preserve">Key lime pie | Amelí</t>
  </si>
  <si>
    <t xml:space="preserve">Key Lime Pie | Amelí</t>
  </si>
  <si>
    <t xml:space="preserve">Tarte au citron vert | Amelí</t>
  </si>
  <si>
    <t xml:space="preserve">Tarta de lima con base crocante y crema suave. Disponible en Amelí, Malargüe, Mendoza.</t>
  </si>
  <si>
    <t xml:space="preserve">Lime tart with a crisp base and a smooth filling. Available at Amelí in Malargüe, Mendoza.</t>
  </si>
  <si>
    <t xml:space="preserve">Torta de lima com base crocante e recheio cremoso. Disponível na Amelí, em Malargüe, Mendoza.</t>
  </si>
  <si>
    <t xml:space="preserve">Tarte au citron vert sur une base croustillante, avec une garniture onctueuse. À découvrir chez Amelí, à Malargüe, Mendoza.</t>
  </si>
  <si>
    <t xml:space="preserve">Torta al lime con base croccante e crema vellutata. Disponibile da Amelí, a Malargüe, Mendoza.</t>
  </si>
  <si>
    <t xml:space="preserve">Sablée de almendras de Amelí Casa de Té &amp; Brunch.</t>
  </si>
  <si>
    <t xml:space="preserve">Almond Sablée Cake at Amelí Casa de Té &amp; Brunch.</t>
  </si>
  <si>
    <t xml:space="preserve">Sablée de amêndoas da Amelí Casa de Té &amp; Brunch.</t>
  </si>
  <si>
    <t xml:space="preserve">Sablé aux amandes chez Amelí Casa de Té &amp; Brunch.</t>
  </si>
  <si>
    <t xml:space="preserve">Sablé alle mandorle da Amelí Casa de Té &amp; Brunch.</t>
  </si>
  <si>
    <t xml:space="preserve">sablee-de-almendras</t>
  </si>
  <si>
    <t xml:space="preserve">almond-sablee-cake</t>
  </si>
  <si>
    <t xml:space="preserve">sablee-de-amendoas</t>
  </si>
  <si>
    <t xml:space="preserve">sable-aux-amandes</t>
  </si>
  <si>
    <t xml:space="preserve">sable-alle-mandorle</t>
  </si>
  <si>
    <t xml:space="preserve">Sablée de almendras | Amelí</t>
  </si>
  <si>
    <t xml:space="preserve">Almond Sablée Cake | Amelí</t>
  </si>
  <si>
    <t xml:space="preserve">Sablée de amêndoas | Amelí</t>
  </si>
  <si>
    <t xml:space="preserve">Sablé aux amandes | Amelí</t>
  </si>
  <si>
    <t xml:space="preserve">Sablé alle mandorle | Amelí</t>
  </si>
  <si>
    <t xml:space="preserve">Mini torta de dos capas crocantes de almendras tostadas, con dulce de leche, crema y frutillas. Disponible en Amelí, Malargüe, Mendoza.</t>
  </si>
  <si>
    <t xml:space="preserve">A mini cake with two crisp toasted-almond layers, dulce de leche, cream and strawberries. Available at Amelí in Malargüe, Mendoza.</t>
  </si>
  <si>
    <t xml:space="preserve">Mini bolo com duas camadas crocantes de amêndoas tostadas, doce de leite, creme e morangos. Disponível na Amelí, em Malargüe, Mendoza.</t>
  </si>
  <si>
    <t xml:space="preserve">Mini-gâteau composé de deux couches croustillantes aux amandes grillées, avec dulce de leche, crème et fraises. À découvrir chez Amelí, à Malargüe…</t>
  </si>
  <si>
    <t xml:space="preserve">Mini torta con due strati croccanti alle mandorle tostate, dulce de leche, crema e fragole. Disponibile da Amelí, a Malargüe, Mendoza.</t>
  </si>
  <si>
    <t xml:space="preserve">Franuí del bosque de Amelí Casa de Té &amp; Brunch.</t>
  </si>
  <si>
    <t xml:space="preserve">Forest Franuí Brownie at Amelí Casa de Té &amp; Brunch.</t>
  </si>
  <si>
    <t xml:space="preserve">Brownie franuí do bosque da Amelí Casa de Té &amp; Brunch.</t>
  </si>
  <si>
    <t xml:space="preserve">Brownie franuí des bois chez Amelí Casa de Té &amp; Brunch.</t>
  </si>
  <si>
    <t xml:space="preserve">Brownie franuí del bosco da Amelí Casa de Té &amp; Brunch.</t>
  </si>
  <si>
    <t xml:space="preserve">franui-del-bosque</t>
  </si>
  <si>
    <t xml:space="preserve">forest-franui-brownie</t>
  </si>
  <si>
    <t xml:space="preserve">brownie-franui-do-bosque</t>
  </si>
  <si>
    <t xml:space="preserve">brownie-franui-des-bois</t>
  </si>
  <si>
    <t xml:space="preserve">brownie-franui-del-bosco</t>
  </si>
  <si>
    <t xml:space="preserve">Franuí del bosque | Amelí</t>
  </si>
  <si>
    <t xml:space="preserve">Forest Franuí Brownie | Amelí</t>
  </si>
  <si>
    <t xml:space="preserve">Brownie franuí do bosque | Amelí</t>
  </si>
  <si>
    <t xml:space="preserve">Brownie franuí des bois | Amelí</t>
  </si>
  <si>
    <t xml:space="preserve">Brownie franuí del bosco | Amelí</t>
  </si>
  <si>
    <t xml:space="preserve">Brownie con dulce de leche, ganache de chocolate blanco y negro, dulce de frambuesa y frambuesas caseras bañadas en chocolate. Disponible en Amelí…</t>
  </si>
  <si>
    <t xml:space="preserve">Brownie with dulce de leche, white and dark chocolate ganache, raspberry preserve and house-made chocolate-coated raspberries. Available at Amelí in…</t>
  </si>
  <si>
    <t xml:space="preserve">Brownie com doce de leite, ganache de chocolate branco e amargo, doce de framboesa e framboesas artesanais cobertas com chocolate. Disponível na Amelí, em…</t>
  </si>
  <si>
    <t xml:space="preserve">Brownie au dulce de leche, ganaches au chocolat blanc et noir, confiture de framboise et framboises maison enrobées de chocolat. À découvrir chez Amelí, à…</t>
  </si>
  <si>
    <t xml:space="preserve">Brownie con dulce de leche, ganache al cioccolato bianco e fondente, confettura di lamponi e lamponi artigianali ricoperti di cioccolato. Disponibile da…</t>
  </si>
  <si>
    <t xml:space="preserve">Bagel de Amelí Casa de Té &amp; Brunch.</t>
  </si>
  <si>
    <t xml:space="preserve">Breakfast Bagel at Amelí Casa de Té &amp; Brunch.</t>
  </si>
  <si>
    <t xml:space="preserve">Bagel de café da manhã da Amelí Casa de Té &amp; Brunch.</t>
  </si>
  <si>
    <t xml:space="preserve">Bagel gourmand chez Amelí Casa de Té &amp; Brunch.</t>
  </si>
  <si>
    <t xml:space="preserve">Bagel farcito da Amelí Casa de Té &amp; Brunch.</t>
  </si>
  <si>
    <t xml:space="preserve">bagel</t>
  </si>
  <si>
    <t xml:space="preserve">breakfast-bagel</t>
  </si>
  <si>
    <t xml:space="preserve">bagel-de-cafe-da-manha</t>
  </si>
  <si>
    <t xml:space="preserve">bagel-gourmand</t>
  </si>
  <si>
    <t xml:space="preserve">bagel-farcito</t>
  </si>
  <si>
    <t xml:space="preserve">Bagel | Amelí</t>
  </si>
  <si>
    <t xml:space="preserve">Breakfast Bagel | Amelí</t>
  </si>
  <si>
    <t xml:space="preserve">Bagel de café da manhã | Amelí</t>
  </si>
  <si>
    <t xml:space="preserve">Bagel gourmand | Amelí</t>
  </si>
  <si>
    <t xml:space="preserve">Bagel farcito | Amelí</t>
  </si>
  <si>
    <t xml:space="preserve">Bagel con tomate, panceta, crema de palta, queso y huevo. Disponible en Amelí, Malargüe, Mendoza.</t>
  </si>
  <si>
    <t xml:space="preserve">Bagel filled with tomato, bacon, avocado cream, cheese and egg. Available at Amelí in Malargüe, Mendoza.</t>
  </si>
  <si>
    <t xml:space="preserve">Bagel recheado com tomate, bacon, creme de abacate, queijo e ovo. Disponível na Amelí, em Malargüe, Mendoza.</t>
  </si>
  <si>
    <t xml:space="preserve">Bagel garni de tomate, bacon, crème d’avocat, fromage et œuf. À découvrir chez Amelí, à Malargüe, Mendoza.</t>
  </si>
  <si>
    <t xml:space="preserve">Bagel farcito con pomodoro, bacon, crema di avocado, formaggio e uovo. Disponibile da Amelí, a Malargüe, Mendoza.</t>
  </si>
  <si>
    <t xml:space="preserve">Tostado de jamón y queso de Amelí Casa de Té &amp; Brunch.</t>
  </si>
  <si>
    <t xml:space="preserve">Ham &amp; Cheese Toastie at Amelí Casa de Té &amp; Brunch.</t>
  </si>
  <si>
    <t xml:space="preserve">Tostado de presunto e queijo da Amelí Casa de Té &amp; Brunch.</t>
  </si>
  <si>
    <t xml:space="preserve">Croque jambon-fromage chez Amelí Casa de Té &amp; Brunch.</t>
  </si>
  <si>
    <t xml:space="preserve">Toast prosciutto e formaggio da Amelí Casa de Té &amp; Brunch.</t>
  </si>
  <si>
    <t xml:space="preserve">tostado-de-jamon-y-queso</t>
  </si>
  <si>
    <t xml:space="preserve">ham-y-cheese-toastie</t>
  </si>
  <si>
    <t xml:space="preserve">tostado-de-presunto-e-queijo</t>
  </si>
  <si>
    <t xml:space="preserve">croque-jambon-fromage</t>
  </si>
  <si>
    <t xml:space="preserve">toast-prosciutto-e-formaggio</t>
  </si>
  <si>
    <t xml:space="preserve">Tostado de jamón y queso | Amelí</t>
  </si>
  <si>
    <t xml:space="preserve">Ham &amp; Cheese Toastie | Amelí</t>
  </si>
  <si>
    <t xml:space="preserve">Tostado de presunto e queijo | Amelí</t>
  </si>
  <si>
    <t xml:space="preserve">Croque jambon-fromage | Amelí</t>
  </si>
  <si>
    <t xml:space="preserve">Toast prosciutto e formaggio | Amelí</t>
  </si>
  <si>
    <t xml:space="preserve">Pan de campo tostado con jamón cocido y queso. Disponible en Amelí, Malargüe, Mendoza.</t>
  </si>
  <si>
    <t xml:space="preserve">Toasted country-style bread with cooked ham and cheese. Available at Amelí in Malargüe, Mendoza.</t>
  </si>
  <si>
    <t xml:space="preserve">Pão rústico tostado com presunto cozido e queijo. Disponível na Amelí, em Malargüe, Mendoza.</t>
  </si>
  <si>
    <t xml:space="preserve">Pain de campagne toasté garni de jambon blanc et de fromage. À découvrir chez Amelí, à Malargüe, Mendoza.</t>
  </si>
  <si>
    <t xml:space="preserve">Pane casereccio tostato con prosciutto cotto e formaggio. Disponibile da Amelí, a Malargüe, Mendoza.</t>
  </si>
  <si>
    <t xml:space="preserve">Tostón Amelí de Amelí Casa de Té &amp; Brunch.</t>
  </si>
  <si>
    <t xml:space="preserve">Amelí Open Toast at Amelí Casa de Té &amp; Brunch.</t>
  </si>
  <si>
    <t xml:space="preserve">Tostada aberta Amelí da Amelí Casa de Té &amp; Brunch.</t>
  </si>
  <si>
    <t xml:space="preserve">Tartine Amelí chez Amelí Casa de Té &amp; Brunch.</t>
  </si>
  <si>
    <t xml:space="preserve">Bruschetta Amelí da Amelí Casa de Té &amp; Brunch.</t>
  </si>
  <si>
    <t xml:space="preserve">toston-ameli</t>
  </si>
  <si>
    <t xml:space="preserve">ameli-open-toast</t>
  </si>
  <si>
    <t xml:space="preserve">tostada-aberta-ameli</t>
  </si>
  <si>
    <t xml:space="preserve">tartine-ameli</t>
  </si>
  <si>
    <t xml:space="preserve">bruschetta-ameli</t>
  </si>
  <si>
    <t xml:space="preserve">Tostón Amelí | Amelí</t>
  </si>
  <si>
    <t xml:space="preserve">Amelí Open Toast | Amelí</t>
  </si>
  <si>
    <t xml:space="preserve">Tostada aberta Amelí | Amelí</t>
  </si>
  <si>
    <t xml:space="preserve">Tartine Amelí | Amelí</t>
  </si>
  <si>
    <t xml:space="preserve">Bruschetta Amelí | Amelí</t>
  </si>
  <si>
    <t xml:space="preserve">Pan de campo con crema de queso azul, peras frescas caramelizadas, nueces y un toque de miel. Disponible en Amelí, Malargüe, Mendoza.</t>
  </si>
  <si>
    <t xml:space="preserve">Country-style bread topped with blue cheese cream, caramelised fresh pears, walnuts and a touch of honey. Available at Amelí in Malargüe, Mendoza.</t>
  </si>
  <si>
    <t xml:space="preserve">Pão rústico com creme de queijo azul, peras frescas caramelizadas, nozes e um toque de mel. Disponível na Amelí, em Malargüe, Mendoza.</t>
  </si>
  <si>
    <t xml:space="preserve">Pain de campagne garni de crème au bleu, de poires fraîches caramélisées, de noix et d’une touche de miel. À découvrir chez Amelí, à Malargüe, Mendoza.</t>
  </si>
  <si>
    <t xml:space="preserve">Pane casereccio con crema al formaggio blu, pere fresche caramellate, noci e un tocco di miele. Disponibile da Amelí, a Malargüe, Mendoza.</t>
  </si>
  <si>
    <t xml:space="preserve">Tostón de palta y huevo de Amelí Casa de Té &amp; Brunch.</t>
  </si>
  <si>
    <t xml:space="preserve">Avocado &amp; Egg Open Toast at Amelí Casa de Té &amp; Brunch.</t>
  </si>
  <si>
    <t xml:space="preserve">Tostada aberta de abacate e ovo da Amelí Casa de Té &amp; Brunch.</t>
  </si>
  <si>
    <t xml:space="preserve">Tartine avocat &amp; œuf chez Amelí Casa de Té &amp; Brunch.</t>
  </si>
  <si>
    <t xml:space="preserve">Bruschetta avocado &amp; uovo da Amelí Casa de Té &amp; Brunch.</t>
  </si>
  <si>
    <t xml:space="preserve">toston-de-palta-y-huevo</t>
  </si>
  <si>
    <t xml:space="preserve">avocado-y-egg-open-toast</t>
  </si>
  <si>
    <t xml:space="preserve">tostada-aberta-de-abacate-e-ovo</t>
  </si>
  <si>
    <t xml:space="preserve">tartine-avocat-y-uf</t>
  </si>
  <si>
    <t xml:space="preserve">bruschetta-avocado-y-uovo</t>
  </si>
  <si>
    <t xml:space="preserve">Tostón de palta y huevo | Amelí</t>
  </si>
  <si>
    <t xml:space="preserve">Avocado &amp; Egg Open Toast | Amelí</t>
  </si>
  <si>
    <t xml:space="preserve">Tostada aberta de abacate e ovo | Amelí</t>
  </si>
  <si>
    <t xml:space="preserve">Tartine avocat &amp; œuf | Amelí</t>
  </si>
  <si>
    <t xml:space="preserve">Bruschetta avocado &amp; uovo | Amelí</t>
  </si>
  <si>
    <t xml:space="preserve">Pan de campo tostado con queso crema, queso danbo, palta, huevo y mix de semillas. Disponible en Amelí, Malargüe, Mendoza.</t>
  </si>
  <si>
    <t xml:space="preserve">Toasted country-style bread with cream cheese, Danbo cheese, avocado, egg and mixed seeds. Available at Amelí in Malargüe, Mendoza.</t>
  </si>
  <si>
    <t xml:space="preserve">Pão rústico tostado com cream cheese, queijo danbo, abacate, ovo e mix de sementes. Disponível na Amelí, em Malargüe, Mendoza.</t>
  </si>
  <si>
    <t xml:space="preserve">Pain de campagne toasté avec fromage frais, fromage danbo, avocat, œuf et mélange de graines. À découvrir chez Amelí, à Malargüe, Mendoza.</t>
  </si>
  <si>
    <t xml:space="preserve">Pane casereccio tostato con formaggio spalmabile, formaggio danbo, avocado, uovo e mix di semi. Disponibile da Amelí, a Malargüe, Mendoza.</t>
  </si>
  <si>
    <t xml:space="preserve">Pistachero de Amelí Casa de Té &amp; Brunch.</t>
  </si>
  <si>
    <t xml:space="preserve">Pistachio Mortadella Sandwich at Amelí Casa de Té &amp; Brunch.</t>
  </si>
  <si>
    <t xml:space="preserve">Sanduíche de mortadela e pistache da Amelí Casa de Té &amp; Brunch.</t>
  </si>
  <si>
    <t xml:space="preserve">Sandwich mortadelle &amp; pistache chez Amelí Casa de Té &amp; Brunch.</t>
  </si>
  <si>
    <t xml:space="preserve">Panino mortadella &amp; pistacchio da Amelí Casa de Té &amp; Brunch.</t>
  </si>
  <si>
    <t xml:space="preserve">pistachero</t>
  </si>
  <si>
    <t xml:space="preserve">pistachio-mortadella-sandwich</t>
  </si>
  <si>
    <t xml:space="preserve">sanduiche-de-mortadela-e-pistache</t>
  </si>
  <si>
    <t xml:space="preserve">sandwich-mortadelle-y-pistache</t>
  </si>
  <si>
    <t xml:space="preserve">panino-mortadella-y-pistacchio</t>
  </si>
  <si>
    <t xml:space="preserve">Pistachero | Amelí</t>
  </si>
  <si>
    <t xml:space="preserve">Pistachio Mortadella Sandwich | Amelí</t>
  </si>
  <si>
    <t xml:space="preserve">Sanduíche de mortadela e pistache | Amelí</t>
  </si>
  <si>
    <t xml:space="preserve">Sandwich mortadelle &amp; pistache | Amelí</t>
  </si>
  <si>
    <t xml:space="preserve">Panino mortadella &amp; pistacchio | Amelí</t>
  </si>
  <si>
    <t xml:space="preserve">Sándwich de mortadela, queso, manteca especiada, pistacho y queso gratinado. Disponible en Amelí, Malargüe, Mendoza.</t>
  </si>
  <si>
    <t xml:space="preserve">A sandwich with mortadella, cheese, spiced butter, pistachios and melted cheese. Available at Amelí in Malargüe, Mendoza.</t>
  </si>
  <si>
    <t xml:space="preserve">Sanduíche com mortadela, queijo, manteiga temperada, pistache e queijo gratinado. Disponível na Amelí, em Malargüe, Mendoza.</t>
  </si>
  <si>
    <t xml:space="preserve">Sandwich à la mortadelle, au fromage, au beurre épicé, aux pistaches et au fromage gratiné. À découvrir chez Amelí, à Malargüe, Mendoza.</t>
  </si>
  <si>
    <t xml:space="preserve">Panino con mortadella, formaggio, burro speziato, pistacchi e formaggio gratinato. Disponibile da Amelí, a Malargüe, Mendoza.</t>
  </si>
  <si>
    <t xml:space="preserve">Canales, disponibilidad y QR</t>
  </si>
  <si>
    <t xml:space="preserve">El QR físico debe ser dinámico y permanente. Las fechas permiten ocultar productos temporales sin cambiar el código impreso.</t>
  </si>
  <si>
    <t xml:space="preserve">URL del producto</t>
  </si>
  <si>
    <t xml:space="preserve">URL QR</t>
  </si>
  <si>
    <t xml:space="preserve">Visible menú QR</t>
  </si>
  <si>
    <t xml:space="preserve">Visible web</t>
  </si>
  <si>
    <t xml:space="preserve">Visible delivery</t>
  </si>
  <si>
    <t xml:space="preserve">Visible Google</t>
  </si>
  <si>
    <t xml:space="preserve">Visible Instagram</t>
  </si>
  <si>
    <t xml:space="preserve">Visible carta impresa</t>
  </si>
  <si>
    <t xml:space="preserve">Disponible desde</t>
  </si>
  <si>
    <t xml:space="preserve">Disponible hasta</t>
  </si>
  <si>
    <t xml:space="preserve">Estado de publicación</t>
  </si>
  <si>
    <t xml:space="preserve">Notas</t>
  </si>
  <si>
    <t xml:space="preserve">Estadísticas del menú digital</t>
  </si>
  <si>
    <t xml:space="preserve">Cargar datos por período. Los ingresos, el CTR y la conversión se calculan automáticamente.</t>
  </si>
  <si>
    <t xml:space="preserve">Última venta</t>
  </si>
  <si>
    <t xml:space="preserve">Valoración</t>
  </si>
  <si>
    <t xml:space="preserve">Cantidad de reseñas</t>
  </si>
  <si>
    <t xml:space="preserve">Favoritos</t>
  </si>
  <si>
    <t xml:space="preserve">Escaneos QR</t>
  </si>
  <si>
    <t xml:space="preserve">Clics en producto</t>
  </si>
  <si>
    <t xml:space="preserve">Pedidos atribuidos</t>
  </si>
  <si>
    <t xml:space="preserve">Ingresos estimados</t>
  </si>
  <si>
    <t xml:space="preserve">CTR producto</t>
  </si>
  <si>
    <t xml:space="preserve">Conversión</t>
  </si>
  <si>
    <t xml:space="preserve">Periodo desde</t>
  </si>
  <si>
    <t xml:space="preserve">Periodo hasta</t>
  </si>
  <si>
    <t xml:space="preserve">Configuración general · Menú digital Amelí</t>
  </si>
  <si>
    <t xml:space="preserve">Celdas crema = completar o revisar. No publicar alérgenos ni afirmaciones «Sin TACC» sin validar recetas, etiquetas, proveedor y manipulación.</t>
  </si>
  <si>
    <t xml:space="preserve">Parámetro</t>
  </si>
  <si>
    <t xml:space="preserve">Valor</t>
  </si>
  <si>
    <t xml:space="preserve">Uso</t>
  </si>
  <si>
    <t xml:space="preserve">Lista</t>
  </si>
  <si>
    <t xml:space="preserve">Valores permitidos</t>
  </si>
  <si>
    <t xml:space="preserve">Moneda local</t>
  </si>
  <si>
    <t xml:space="preserve">Precios del local</t>
  </si>
  <si>
    <t xml:space="preserve">Sí / No</t>
  </si>
  <si>
    <t xml:space="preserve">Sí | No</t>
  </si>
  <si>
    <t xml:space="preserve">Tipo de cambio ARS/USD</t>
  </si>
  <si>
    <t xml:space="preserve">Completar manualmente para calcular precios de referencia en USD</t>
  </si>
  <si>
    <t xml:space="preserve">Sí / No / Verificar</t>
  </si>
  <si>
    <t xml:space="preserve">Sí | No | Verificar</t>
  </si>
  <si>
    <t xml:space="preserve">IVA incluido por defecto</t>
  </si>
  <si>
    <t xml:space="preserve">Control informativo</t>
  </si>
  <si>
    <t xml:space="preserve">Estado</t>
  </si>
  <si>
    <t xml:space="preserve">Activo | Inactivo | Temporal</t>
  </si>
  <si>
    <t xml:space="preserve">Fecha de actualización</t>
  </si>
  <si>
    <t xml:space="preserve">Se calcula automáticamente</t>
  </si>
  <si>
    <t xml:space="preserve">ARS | USD</t>
  </si>
  <si>
    <t xml:space="preserve">Tipo de QR recomendado</t>
  </si>
  <si>
    <t xml:space="preserve">Dinámico</t>
  </si>
  <si>
    <t xml:space="preserve">Permite cambiar la URL sin reimprimir el código</t>
  </si>
  <si>
    <t xml:space="preserve">Estrella | Caballo de batalla | Puzzle | Perro | Sin datos</t>
  </si>
  <si>
    <t xml:space="preserve">Duración de sesión sugerida (minutos)</t>
  </si>
  <si>
    <t xml:space="preserve">Para la sesión web; el QR físico no debería expirar</t>
  </si>
  <si>
    <t xml:space="preserve">Caliente | Fría | Ambiente | Mixta | Según bebida</t>
  </si>
  <si>
    <t xml:space="preserve">URL base del menú</t>
  </si>
  <si>
    <t xml:space="preserve">Ejemplo: https://menu.ameli.com.ar</t>
  </si>
  <si>
    <t xml:space="preserve">Tipo de QR</t>
  </si>
  <si>
    <t xml:space="preserve">Dinámico | Estático</t>
  </si>
  <si>
    <t xml:space="preserve">WhatsApp de pedidos</t>
  </si>
  <si>
    <t xml:space="preserve">Formato internacional, sin espacios</t>
  </si>
  <si>
    <t xml:space="preserve">Instagram</t>
  </si>
  <si>
    <t xml:space="preserve">@ameli</t>
  </si>
  <si>
    <t xml:space="preserve">Actualizar con el usuario definitivo</t>
  </si>
  <si>
    <t xml:space="preserve">Dirección</t>
  </si>
  <si>
    <t xml:space="preserve">Malargüe, Mendoza, Argentina</t>
  </si>
  <si>
    <t xml:space="preserve">Completar dirección exacta</t>
  </si>
  <si>
    <t xml:space="preserve">Listas técnicas para los desplegables. Esta hoja está oculta: no hace falta tocarla.</t>
  </si>
  <si>
    <t xml:space="preserve">SiNo</t>
  </si>
  <si>
    <t xml:space="preserve">SNV</t>
  </si>
  <si>
    <t xml:space="preserve">Clasif</t>
  </si>
  <si>
    <t xml:space="preserve">Estrella</t>
  </si>
  <si>
    <t xml:space="preserve">Caballo de batalla</t>
  </si>
  <si>
    <t xml:space="preserve">Incógnita</t>
  </si>
  <si>
    <t xml:space="preserve">Perro</t>
  </si>
  <si>
    <t xml:space="preserve">Sin datos</t>
  </si>
</sst>
</file>

<file path=xl/styles.xml><?xml version="1.0" encoding="utf-8"?>
<styleSheet xmlns="http://schemas.openxmlformats.org/spreadsheetml/2006/main">
  <numFmts count="8">
    <numFmt numFmtId="164" formatCode="General"/>
    <numFmt numFmtId="165" formatCode="General"/>
    <numFmt numFmtId="166" formatCode="0"/>
    <numFmt numFmtId="167" formatCode="#,##0"/>
    <numFmt numFmtId="168" formatCode="#,##0.00"/>
    <numFmt numFmtId="169" formatCode="0.0%"/>
    <numFmt numFmtId="170" formatCode="dd/mm/yyyy"/>
    <numFmt numFmtId="171" formatCode="0.0"/>
  </numFmts>
  <fonts count="14">
    <font>
      <sz val="11"/>
      <name val="Calibri"/>
      <family val="0"/>
      <charset val="1"/>
    </font>
    <font>
      <sz val="10"/>
      <name val="Arial"/>
      <family val="0"/>
    </font>
    <font>
      <sz val="10"/>
      <name val="Arial"/>
      <family val="0"/>
    </font>
    <font>
      <sz val="10"/>
      <name val="Arial"/>
      <family val="0"/>
    </font>
    <font>
      <b val="true"/>
      <sz val="18"/>
      <color rgb="FFFFFFFF"/>
      <name val="Georgia"/>
      <family val="0"/>
      <charset val="1"/>
    </font>
    <font>
      <i val="true"/>
      <sz val="10"/>
      <color rgb="FF202516"/>
      <name val="Aptos"/>
      <family val="0"/>
      <charset val="1"/>
    </font>
    <font>
      <b val="true"/>
      <sz val="10"/>
      <color rgb="FFFFFFFF"/>
      <name val="Aptos"/>
      <family val="0"/>
      <charset val="1"/>
    </font>
    <font>
      <sz val="10"/>
      <color rgb="FF202516"/>
      <name val="Aptos"/>
      <family val="0"/>
      <charset val="1"/>
    </font>
    <font>
      <b val="true"/>
      <sz val="13"/>
      <color rgb="FF202516"/>
      <name val="Aptos"/>
      <family val="0"/>
      <charset val="1"/>
    </font>
    <font>
      <b val="true"/>
      <sz val="12"/>
      <color rgb="FF8B2F2F"/>
      <name val="Arial"/>
      <family val="0"/>
      <charset val="1"/>
    </font>
    <font>
      <b val="true"/>
      <sz val="10"/>
      <color rgb="FF3E4829"/>
      <name val="Arial"/>
      <family val="0"/>
      <charset val="1"/>
    </font>
    <font>
      <sz val="10"/>
      <name val="Arial"/>
      <family val="0"/>
      <charset val="1"/>
    </font>
    <font>
      <i val="true"/>
      <sz val="9"/>
      <color rgb="FF888888"/>
      <name val="Arial"/>
      <family val="0"/>
      <charset val="1"/>
    </font>
    <font>
      <b val="true"/>
      <sz val="9"/>
      <name val="Arial"/>
      <family val="0"/>
      <charset val="1"/>
    </font>
  </fonts>
  <fills count="7">
    <fill>
      <patternFill patternType="none"/>
    </fill>
    <fill>
      <patternFill patternType="gray125"/>
    </fill>
    <fill>
      <patternFill patternType="solid">
        <fgColor rgb="FF4E5A30"/>
        <bgColor rgb="FF536039"/>
      </patternFill>
    </fill>
    <fill>
      <patternFill patternType="solid">
        <fgColor rgb="FFF7F2E8"/>
        <bgColor rgb="FFF2EAE1"/>
      </patternFill>
    </fill>
    <fill>
      <patternFill patternType="solid">
        <fgColor rgb="FFE6EFCE"/>
        <bgColor rgb="FFDDE6D5"/>
      </patternFill>
    </fill>
    <fill>
      <patternFill patternType="solid">
        <fgColor rgb="FFF2EAE1"/>
        <bgColor rgb="FFFDE8E8"/>
      </patternFill>
    </fill>
    <fill>
      <patternFill patternType="solid">
        <fgColor rgb="FFFFF3C4"/>
        <bgColor rgb="FFFFF4D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top" textRotation="0" wrapText="false" indent="0" shrinkToFit="false"/>
      <protection locked="true" hidden="false"/>
    </xf>
    <xf numFmtId="164" fontId="0" fillId="0" borderId="0" xfId="0" applyFont="false" applyBorder="true" applyAlignment="true" applyProtection="false">
      <alignment horizontal="general" vertical="top" textRotation="0" wrapText="false" indent="0" shrinkToFit="false"/>
      <protection locked="true" hidden="false"/>
    </xf>
    <xf numFmtId="164" fontId="5" fillId="3"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true" applyAlignment="true" applyProtection="false">
      <alignment horizontal="center"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false" indent="0" shrinkToFit="false"/>
      <protection locked="true" hidden="false"/>
    </xf>
    <xf numFmtId="165" fontId="8" fillId="4" borderId="0" xfId="0" applyFont="true" applyBorder="true" applyAlignment="true" applyProtection="false">
      <alignment horizontal="general" vertical="top" textRotation="0" wrapText="false" indent="0" shrinkToFit="false"/>
      <protection locked="true" hidden="false"/>
    </xf>
    <xf numFmtId="166" fontId="7" fillId="0" borderId="0" xfId="0" applyFont="true" applyBorder="true" applyAlignment="true" applyProtection="false">
      <alignment horizontal="general" vertical="top" textRotation="0" wrapText="false" indent="0" shrinkToFit="false"/>
      <protection locked="true" hidden="false"/>
    </xf>
    <xf numFmtId="164" fontId="9" fillId="0" borderId="0" xfId="0" applyFont="true" applyBorder="true" applyAlignment="true" applyProtection="false">
      <alignment horizontal="general" vertical="top" textRotation="0" wrapText="false" indent="0" shrinkToFit="false"/>
      <protection locked="true" hidden="false"/>
    </xf>
    <xf numFmtId="164" fontId="10" fillId="0" borderId="0" xfId="0" applyFont="true" applyBorder="true" applyAlignment="true" applyProtection="false">
      <alignment horizontal="general" vertical="top" textRotation="0" wrapText="false" indent="0" shrinkToFit="false"/>
      <protection locked="true" hidden="false"/>
    </xf>
    <xf numFmtId="164" fontId="11" fillId="0" borderId="0" xfId="0" applyFont="true" applyBorder="true" applyAlignment="true" applyProtection="false">
      <alignment horizontal="general" vertical="top" textRotation="0" wrapText="false" indent="0" shrinkToFit="false"/>
      <protection locked="true" hidden="false"/>
    </xf>
    <xf numFmtId="164" fontId="10" fillId="5" borderId="0" xfId="0" applyFont="true" applyBorder="true" applyAlignment="true" applyProtection="false">
      <alignment horizontal="center"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6" fontId="7" fillId="0" borderId="0" xfId="0" applyFont="true" applyBorder="true" applyAlignment="true" applyProtection="false">
      <alignment horizontal="general" vertical="top" textRotation="0" wrapText="true" indent="0" shrinkToFit="false"/>
      <protection locked="true" hidden="false"/>
    </xf>
    <xf numFmtId="167" fontId="7" fillId="6" borderId="0" xfId="0" applyFont="true" applyBorder="true" applyAlignment="true" applyProtection="false">
      <alignment horizontal="general" vertical="top" textRotation="0" wrapText="true" indent="0" shrinkToFit="false"/>
      <protection locked="true" hidden="false"/>
    </xf>
    <xf numFmtId="167" fontId="7" fillId="3" borderId="0" xfId="0" applyFont="true" applyBorder="true" applyAlignment="true" applyProtection="false">
      <alignment horizontal="general" vertical="top" textRotation="0" wrapText="true" indent="0" shrinkToFit="false"/>
      <protection locked="true" hidden="false"/>
    </xf>
    <xf numFmtId="168" fontId="7" fillId="0" borderId="0" xfId="0" applyFont="true" applyBorder="true" applyAlignment="true" applyProtection="false">
      <alignment horizontal="general" vertical="top" textRotation="0" wrapText="true" indent="0" shrinkToFit="false"/>
      <protection locked="true" hidden="false"/>
    </xf>
    <xf numFmtId="167" fontId="7" fillId="0" borderId="0" xfId="0" applyFont="true" applyBorder="true" applyAlignment="true" applyProtection="false">
      <alignment horizontal="general" vertical="top" textRotation="0" wrapText="true" indent="0" shrinkToFit="false"/>
      <protection locked="true" hidden="false"/>
    </xf>
    <xf numFmtId="169" fontId="7" fillId="0" borderId="0" xfId="0" applyFont="true" applyBorder="true" applyAlignment="true" applyProtection="false">
      <alignment horizontal="general" vertical="top" textRotation="0" wrapText="true" indent="0" shrinkToFit="false"/>
      <protection locked="true" hidden="false"/>
    </xf>
    <xf numFmtId="170" fontId="7" fillId="0" borderId="0" xfId="0" applyFont="true" applyBorder="true" applyAlignment="true" applyProtection="false">
      <alignment horizontal="general" vertical="top" textRotation="0" wrapText="true" indent="0" shrinkToFit="false"/>
      <protection locked="true" hidden="false"/>
    </xf>
    <xf numFmtId="164" fontId="7" fillId="3" borderId="0" xfId="0" applyFont="true" applyBorder="true" applyAlignment="true" applyProtection="false">
      <alignment horizontal="general" vertical="top" textRotation="0" wrapText="true" indent="0" shrinkToFit="false"/>
      <protection locked="true" hidden="false"/>
    </xf>
    <xf numFmtId="170" fontId="7" fillId="3" borderId="0" xfId="0" applyFont="true" applyBorder="true" applyAlignment="true" applyProtection="false">
      <alignment horizontal="general" vertical="top" textRotation="0" wrapText="true" indent="0" shrinkToFit="false"/>
      <protection locked="true" hidden="false"/>
    </xf>
    <xf numFmtId="164" fontId="7" fillId="6" borderId="0" xfId="0" applyFont="true" applyBorder="true" applyAlignment="true" applyProtection="false">
      <alignment horizontal="general" vertical="top" textRotation="0" wrapText="true" indent="0" shrinkToFit="false"/>
      <protection locked="true" hidden="false"/>
    </xf>
    <xf numFmtId="171" fontId="7" fillId="3"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1">
    <dxf>
      <fill>
        <patternFill patternType="solid">
          <fgColor rgb="FFF2EAE1"/>
          <bgColor rgb="FF000000"/>
        </patternFill>
      </fill>
    </dxf>
    <dxf>
      <fill>
        <patternFill patternType="solid">
          <bgColor rgb="FF000000"/>
        </patternFill>
      </fill>
    </dxf>
    <dxf>
      <fill>
        <patternFill patternType="solid">
          <fgColor rgb="FF202516"/>
          <bgColor rgb="FF000000"/>
        </patternFill>
      </fill>
    </dxf>
    <dxf>
      <fill>
        <patternFill patternType="solid">
          <fgColor rgb="FF3E4829"/>
          <bgColor rgb="FF000000"/>
        </patternFill>
      </fill>
    </dxf>
    <dxf>
      <fill>
        <patternFill patternType="solid">
          <fgColor rgb="FFE6EFCE"/>
          <bgColor rgb="FF000000"/>
        </patternFill>
      </fill>
    </dxf>
    <dxf>
      <font>
        <b val="1"/>
        <color rgb="FF202516"/>
      </font>
      <fill>
        <patternFill>
          <bgColor rgb="FFE6EFCE"/>
        </patternFill>
      </fill>
    </dxf>
    <dxf>
      <font>
        <b val="1"/>
        <color rgb="FF8B1E1E"/>
      </font>
      <fill>
        <patternFill>
          <bgColor rgb="FFFDE8E8"/>
        </patternFill>
      </fill>
    </dxf>
    <dxf>
      <fill>
        <patternFill>
          <bgColor rgb="FFF4CCCC"/>
        </patternFill>
      </fill>
    </dxf>
    <dxf>
      <font>
        <color rgb="FF8B1E1E"/>
      </font>
      <fill>
        <patternFill>
          <bgColor rgb="FFFDE8E8"/>
        </patternFill>
      </fill>
    </dxf>
    <dxf>
      <font>
        <b val="1"/>
      </font>
      <fill>
        <patternFill>
          <bgColor rgb="FFE6EFCE"/>
        </patternFill>
      </fill>
    </dxf>
    <dxf>
      <fill>
        <patternFill patternType="solid">
          <fgColor rgb="FF4E5A30"/>
          <bgColor rgb="FF000000"/>
        </patternFill>
      </fill>
    </dxf>
    <dxf>
      <fill>
        <patternFill patternType="solid">
          <fgColor rgb="FFFFFFFF"/>
          <bgColor rgb="FF000000"/>
        </patternFill>
      </fill>
    </dxf>
    <dxf>
      <fill>
        <patternFill patternType="solid">
          <fgColor rgb="FFFFF3C4"/>
          <bgColor rgb="FF000000"/>
        </patternFill>
      </fill>
    </dxf>
    <dxf>
      <fill>
        <patternFill patternType="solid">
          <fgColor rgb="FFF7F2E8"/>
          <bgColor rgb="FF000000"/>
        </patternFill>
      </fill>
    </dxf>
    <dxf>
      <fill>
        <patternFill patternType="solid">
          <fgColor rgb="FFFDE8E8"/>
          <bgColor rgb="FF000000"/>
        </patternFill>
      </fill>
    </dxf>
    <dxf>
      <fill>
        <patternFill>
          <bgColor rgb="FFFDE8E8"/>
        </patternFill>
      </fill>
    </dxf>
    <dxf>
      <fill>
        <patternFill patternType="solid">
          <fgColor rgb="FFFFF4D6"/>
          <bgColor rgb="FF000000"/>
        </patternFill>
      </fill>
    </dxf>
    <dxf>
      <fill>
        <patternFill>
          <bgColor rgb="FFFFF4D6"/>
        </patternFill>
      </fill>
    </dxf>
    <dxf>
      <fill>
        <patternFill>
          <bgColor rgb="FFFDEBD0"/>
        </patternFill>
      </fill>
    </dxf>
    <dxf>
      <fill>
        <patternFill>
          <bgColor rgb="FFE6F0FA"/>
        </patternFill>
      </fill>
    </dxf>
    <dxf>
      <fill>
        <patternFill>
          <bgColor rgb="FFDDE6D5"/>
        </patternFill>
      </fill>
    </dxf>
  </dxfs>
  <colors>
    <indexedColors>
      <rgbColor rgb="FF000000"/>
      <rgbColor rgb="FFFFFFFF"/>
      <rgbColor rgb="FFFF0000"/>
      <rgbColor rgb="FF00FF00"/>
      <rgbColor rgb="FF0000FF"/>
      <rgbColor rgb="FFFFFF00"/>
      <rgbColor rgb="FFFF00FF"/>
      <rgbColor rgb="FF00FFFF"/>
      <rgbColor rgb="FF8B1E1E"/>
      <rgbColor rgb="FF008000"/>
      <rgbColor rgb="FF000080"/>
      <rgbColor rgb="FF8B966E"/>
      <rgbColor rgb="FF800080"/>
      <rgbColor rgb="FF008080"/>
      <rgbColor rgb="FFB3A48B"/>
      <rgbColor rgb="FF7F7F7F"/>
      <rgbColor rgb="FF9999FF"/>
      <rgbColor rgb="FF993366"/>
      <rgbColor rgb="FFFFF4D6"/>
      <rgbColor rgb="FFE6F0FA"/>
      <rgbColor rgb="FF660066"/>
      <rgbColor rgb="FFFF8080"/>
      <rgbColor rgb="FF0066CC"/>
      <rgbColor rgb="FFF2EAE1"/>
      <rgbColor rgb="FF000080"/>
      <rgbColor rgb="FFFF00FF"/>
      <rgbColor rgb="FFFFFF00"/>
      <rgbColor rgb="FF00FFFF"/>
      <rgbColor rgb="FF800080"/>
      <rgbColor rgb="FF800000"/>
      <rgbColor rgb="FF008080"/>
      <rgbColor rgb="FF0000FF"/>
      <rgbColor rgb="FF00CCFF"/>
      <rgbColor rgb="FFDDE6D5"/>
      <rgbColor rgb="FFE6EFCE"/>
      <rgbColor rgb="FFFFF3C4"/>
      <rgbColor rgb="FFFDE8E8"/>
      <rgbColor rgb="FFFDEBD0"/>
      <rgbColor rgb="FFF7F2E8"/>
      <rgbColor rgb="FFF4CCCC"/>
      <rgbColor rgb="FF3366FF"/>
      <rgbColor rgb="FF33CCCC"/>
      <rgbColor rgb="FF99CC00"/>
      <rgbColor rgb="FFFFCC00"/>
      <rgbColor rgb="FFFF9900"/>
      <rgbColor rgb="FFFF6600"/>
      <rgbColor rgb="FF536039"/>
      <rgbColor rgb="FF888888"/>
      <rgbColor rgb="FF003366"/>
      <rgbColor rgb="FF339966"/>
      <rgbColor rgb="FF003300"/>
      <rgbColor rgb="FF202516"/>
      <rgbColor rgb="FF8B2F2F"/>
      <rgbColor rgb="FF993366"/>
      <rgbColor rgb="FF4E5A30"/>
      <rgbColor rgb="FF3E482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AlergenosTable" displayName="AlergenosTable" ref="A4:S59" headerRowCount="1" totalsRowCount="0" totalsRowShown="0">
  <tableColumns count="19">
    <tableColumn id="1" name="ID"/>
    <tableColumn id="2" name="Producto ES-AR"/>
    <tableColumn id="3" name="Vegetariano"/>
    <tableColumn id="4" name="Vegano"/>
    <tableColumn id="5" name="Sin TACC"/>
    <tableColumn id="6" name="Sin lactosa"/>
    <tableColumn id="7" name="Contiene gluten"/>
    <tableColumn id="8" name="Contiene leche"/>
    <tableColumn id="9" name="Contiene huevo"/>
    <tableColumn id="10" name="Contiene soja"/>
    <tableColumn id="11" name="Contiene maní"/>
    <tableColumn id="12" name="Contiene frutos secos"/>
    <tableColumn id="13" name="Contiene sésamo"/>
    <tableColumn id="14" name="Contiene pescado"/>
    <tableColumn id="15" name="Contiene mariscos"/>
    <tableColumn id="16" name="Contiene alcohol"/>
    <tableColumn id="17" name="Contiene cafeína"/>
    <tableColumn id="18" name="Estado de validación"/>
    <tableColumn id="19" name="Advertencia / observaciones"/>
  </tableColumns>
</table>
</file>

<file path=xl/tables/table2.xml><?xml version="1.0" encoding="utf-8"?>
<table xmlns="http://schemas.openxmlformats.org/spreadsheetml/2006/main" id="2" name="CanalesQrTable" displayName="CanalesQrTable" ref="A4:N59" headerRowCount="1" totalsRowCount="0" totalsRowShown="0">
  <tableColumns count="14">
    <tableColumn id="1" name="ID"/>
    <tableColumn id="2" name="Producto ES-AR"/>
    <tableColumn id="3" name="URL del producto"/>
    <tableColumn id="4" name="URL QR"/>
    <tableColumn id="5" name="Visible menú QR"/>
    <tableColumn id="6" name="Visible web"/>
    <tableColumn id="7" name="Visible delivery"/>
    <tableColumn id="8" name="Visible Google"/>
    <tableColumn id="9" name="Visible Instagram"/>
    <tableColumn id="10" name="Visible carta impresa"/>
    <tableColumn id="11" name="Disponible desde"/>
    <tableColumn id="12" name="Disponible hasta"/>
    <tableColumn id="13" name="Estado de publicación"/>
    <tableColumn id="14" name="Notas"/>
  </tableColumns>
</table>
</file>

<file path=xl/tables/table3.xml><?xml version="1.0" encoding="utf-8"?>
<table xmlns="http://schemas.openxmlformats.org/spreadsheetml/2006/main" id="3" name="CategoriasTable" displayName="CategoriasTable" ref="A4:O17" headerRowCount="1" totalsRowCount="0" totalsRowShown="0">
  <tableColumns count="15">
    <tableColumn id="1" name="Código"/>
    <tableColumn id="2" name="Orden"/>
    <tableColumn id="3" name="Grupo ES"/>
    <tableColumn id="4" name="Grupo EN"/>
    <tableColumn id="5" name="Grupo PT"/>
    <tableColumn id="6" name="Grupo FR"/>
    <tableColumn id="7" name="Grupo IT"/>
    <tableColumn id="8" name="Categoría ES"/>
    <tableColumn id="9" name="Categoría EN"/>
    <tableColumn id="10" name="Categoría PT"/>
    <tableColumn id="11" name="Categoría FR"/>
    <tableColumn id="12" name="Categoría IT"/>
    <tableColumn id="13" name="Cantidad de productos"/>
    <tableColumn id="14" name="Página fuente"/>
    <tableColumn id="15" name="Visible"/>
  </tableColumns>
</table>
</file>

<file path=xl/tables/table4.xml><?xml version="1.0" encoding="utf-8"?>
<table xmlns="http://schemas.openxmlformats.org/spreadsheetml/2006/main" id="4" name="EstadisticasTable" displayName="EstadisticasTable" ref="A4:P59" headerRowCount="1" totalsRowCount="0" totalsRowShown="0">
  <tableColumns count="16">
    <tableColumn id="1" name="ID"/>
    <tableColumn id="2" name="Producto ES-AR"/>
    <tableColumn id="3" name="Unidades vendidas"/>
    <tableColumn id="4" name="Última venta"/>
    <tableColumn id="5" name="Valoración"/>
    <tableColumn id="6" name="Cantidad de reseñas"/>
    <tableColumn id="7" name="Favoritos"/>
    <tableColumn id="8" name="Escaneos QR"/>
    <tableColumn id="9" name="Clics en producto"/>
    <tableColumn id="10" name="Pedidos atribuidos"/>
    <tableColumn id="11" name="Ingresos estimados"/>
    <tableColumn id="12" name="CTR producto"/>
    <tableColumn id="13" name="Conversión"/>
    <tableColumn id="14" name="Periodo desde"/>
    <tableColumn id="15" name="Periodo hasta"/>
    <tableColumn id="16" name="Observaciones"/>
  </tableColumns>
</table>
</file>

<file path=xl/tables/table5.xml><?xml version="1.0" encoding="utf-8"?>
<table xmlns="http://schemas.openxmlformats.org/spreadsheetml/2006/main" id="5" name="GastronomiaTable" displayName="GastronomiaTable" ref="A4:L59" headerRowCount="1" totalsRowCount="0" totalsRowShown="0">
  <tableColumns count="12">
    <tableColumn id="1" name="ID"/>
    <tableColumn id="2" name="Producto ES-AR"/>
    <tableColumn id="3" name="Tipo"/>
    <tableColumn id="4" name="Temperatura"/>
    <tableColumn id="5" name="Formato de servicio"/>
    <tableColumn id="6" name="Porciones"/>
    <tableColumn id="7" name="Tiempo de preparación (min)"/>
    <tableColumn id="8" name="Origen"/>
    <tableColumn id="9" name="Elaboración propia"/>
    <tableColumn id="10" name="Producto tercerizado"/>
    <tableColumn id="11" name="Disponible para llevar"/>
    <tableColumn id="12" name="Notas operativas"/>
  </tableColumns>
</table>
</file>

<file path=xl/tables/table6.xml><?xml version="1.0" encoding="utf-8"?>
<table xmlns="http://schemas.openxmlformats.org/spreadsheetml/2006/main" id="6" name="IngenieriaMenuTable" displayName="IngenieriaMenuTable" ref="A4:P59" headerRowCount="1" totalsRowCount="0" totalsRowShown="0">
  <tableColumns count="16">
    <tableColumn id="1" name="ID"/>
    <tableColumn id="2" name="Producto ES-AR"/>
    <tableColumn id="3" name="Categoría"/>
    <tableColumn id="4" name="Precio local"/>
    <tableColumn id="5" name="Costo unitario"/>
    <tableColumn id="6" name="Margen de contribución"/>
    <tableColumn id="7" name="Margen %"/>
    <tableColumn id="8" name="Unidades vendidas"/>
    <tableColumn id="9" name="Popularidad en categoría"/>
    <tableColumn id="10" name="Promedio ventas categoría"/>
    <tableColumn id="11" name="Promedio margen categoría"/>
    <tableColumn id="12" name="Clasificación"/>
    <tableColumn id="13" name="Prioridad sugerida"/>
    <tableColumn id="14" name="Etiqueta sugerida"/>
    <tableColumn id="15" name="Decisión editorial"/>
    <tableColumn id="16" name="Observaciones"/>
  </tableColumns>
</table>
</file>

<file path=xl/tables/table7.xml><?xml version="1.0" encoding="utf-8"?>
<table xmlns="http://schemas.openxmlformats.org/spreadsheetml/2006/main" id="7" name="IngredientesTable" displayName="IngredientesTable" ref="A4:P59" headerRowCount="1" totalsRowCount="0" totalsRowShown="0">
  <tableColumns count="16">
    <tableColumn id="1" name="ID"/>
    <tableColumn id="2" name="Producto ES-AR"/>
    <tableColumn id="3" name="Ingrediente 1"/>
    <tableColumn id="4" name="Ingrediente 2"/>
    <tableColumn id="5" name="Ingrediente 3"/>
    <tableColumn id="6" name="Ingrediente 4"/>
    <tableColumn id="7" name="Ingrediente 5"/>
    <tableColumn id="8" name="Ingrediente 6"/>
    <tableColumn id="9" name="Ingrediente 7"/>
    <tableColumn id="10" name="Ingrediente 8"/>
    <tableColumn id="11" name="Ingrediente 9"/>
    <tableColumn id="12" name="Ingrediente 10"/>
    <tableColumn id="13" name="Ingrediente 11"/>
    <tableColumn id="14" name="Ingrediente 12"/>
    <tableColumn id="15" name="Estado de revisión"/>
    <tableColumn id="16" name="Observaciones"/>
  </tableColumns>
</table>
</file>

<file path=xl/tables/table8.xml><?xml version="1.0" encoding="utf-8"?>
<table xmlns="http://schemas.openxmlformats.org/spreadsheetml/2006/main" id="8" name="MenuMultilingueTable" displayName="MenuMultilingueTable" ref="A4:N59" headerRowCount="1" totalsRowCount="0" totalsRowShown="0">
  <tableColumns count="14">
    <tableColumn id="1" name="ID"/>
    <tableColumn id="2" name="Categoría"/>
    <tableColumn id="3" name="Orden"/>
    <tableColumn id="4" name="Nombre ES-AR"/>
    <tableColumn id="5" name="Nombre EN-UK"/>
    <tableColumn id="6" name="Nombre PT-BR"/>
    <tableColumn id="7" name="Nombre FR-FR"/>
    <tableColumn id="8" name="Nombre IT-IT"/>
    <tableColumn id="9" name="Descripción ES-AR"/>
    <tableColumn id="10" name="Descripción EN-UK"/>
    <tableColumn id="11" name="Descripción PT-BR"/>
    <tableColumn id="12" name="Descripción FR-FR"/>
    <tableColumn id="13" name="Descripción IT-IT"/>
    <tableColumn id="14" name="Estado de traducción"/>
  </tableColumns>
</table>
</file>

<file path=xl/tables/table9.xml><?xml version="1.0" encoding="utf-8"?>
<table xmlns="http://schemas.openxmlformats.org/spreadsheetml/2006/main" id="9" name="MultimediaSeoTable" displayName="MultimediaSeoTable" ref="A4:Y59" headerRowCount="1" totalsRowCount="0" totalsRowShown="0">
  <tableColumns count="25">
    <tableColumn id="1" name="ID"/>
    <tableColumn id="2" name="Producto ES-AR"/>
    <tableColumn id="3" name="URL imagen principal"/>
    <tableColumn id="4" name="URL imagen 2"/>
    <tableColumn id="5" name="URL video"/>
    <tableColumn id="6" name="Alt text ES"/>
    <tableColumn id="7" name="Alt text EN"/>
    <tableColumn id="8" name="Alt text PT"/>
    <tableColumn id="9" name="Alt text FR"/>
    <tableColumn id="10" name="Alt text IT"/>
    <tableColumn id="11" name="Slug ES"/>
    <tableColumn id="12" name="Slug EN"/>
    <tableColumn id="13" name="Slug PT"/>
    <tableColumn id="14" name="Slug FR"/>
    <tableColumn id="15" name="Slug IT"/>
    <tableColumn id="16" name="Meta title ES"/>
    <tableColumn id="17" name="Meta title EN"/>
    <tableColumn id="18" name="Meta title PT"/>
    <tableColumn id="19" name="Meta title FR"/>
    <tableColumn id="20" name="Meta title IT"/>
    <tableColumn id="21" name="Meta description ES"/>
    <tableColumn id="22" name="Meta description EN"/>
    <tableColumn id="23" name="Meta description PT"/>
    <tableColumn id="24" name="Meta description FR"/>
    <tableColumn id="25" name="Meta description IT"/>
  </tableColumns>
</table>
</file>

<file path=xl/tables/table10.xml><?xml version="1.0" encoding="utf-8"?>
<table xmlns="http://schemas.openxmlformats.org/spreadsheetml/2006/main" id="10" name="PersonalizacionTable" displayName="PersonalizacionTable" ref="A4:N59" headerRowCount="1" totalsRowCount="0" totalsRowShown="0">
  <tableColumns count="14">
    <tableColumn id="1" name="ID"/>
    <tableColumn id="2" name="Producto ES-AR"/>
    <tableColumn id="3" name="Admite cambios"/>
    <tableColumn id="4" name="Leche vegetal"/>
    <tableColumn id="5" name="Leche sin lactosa"/>
    <tableColumn id="6" name="Extra espresso"/>
    <tableColumn id="7" name="Extra crema"/>
    <tableColumn id="8" name="Extra queso"/>
    <tableColumn id="9" name="Extra palta"/>
    <tableColumn id="10" name="Extra miel"/>
    <tableColumn id="11" name="Extra dulce de leche"/>
    <tableColumn id="12" name="Sin azúcar añadida"/>
    <tableColumn id="13" name="Opción para llevar"/>
    <tableColumn id="14" name="Observaciones"/>
  </tableColumns>
</table>
</file>

<file path=xl/tables/table11.xml><?xml version="1.0" encoding="utf-8"?>
<table xmlns="http://schemas.openxmlformats.org/spreadsheetml/2006/main" id="11" name="PreciosTable" displayName="PreciosTable" ref="A4:N59" headerRowCount="1" totalsRowCount="0" totalsRowShown="0">
  <tableColumns count="14">
    <tableColumn id="1" name="ID"/>
    <tableColumn id="2" name="Producto ES-AR"/>
    <tableColumn id="3" name="Moneda"/>
    <tableColumn id="4" name="Precio local"/>
    <tableColumn id="5" name="Precio delivery"/>
    <tableColumn id="6" name="Precio promocional"/>
    <tableColumn id="7" name="Precio de referencia USD"/>
    <tableColumn id="8" name="Costo unitario"/>
    <tableColumn id="9" name="Margen bruto"/>
    <tableColumn id="10" name="Margen bruto %"/>
    <tableColumn id="11" name="IVA incluido"/>
    <tableColumn id="12" name="Fecha actualización"/>
    <tableColumn id="13" name="Estado de carga"/>
    <tableColumn id="14" name="Observaciones"/>
  </tableColumns>
</table>
</file>

<file path=xl/tables/table12.xml><?xml version="1.0" encoding="utf-8"?>
<table xmlns="http://schemas.openxmlformats.org/spreadsheetml/2006/main" id="12" name="ProductosMasterTable" displayName="ProductosMasterTable" ref="A4:Q59" headerRowCount="1" totalsRowCount="0" totalsRowShown="0">
  <tableColumns count="17">
    <tableColumn id="1" name="ID"/>
    <tableColumn id="2" name="SKU"/>
    <tableColumn id="3" name="Grupo principal"/>
    <tableColumn id="4" name="Categoría"/>
    <tableColumn id="5" name="Código categoría"/>
    <tableColumn id="6" name="Orden categoría"/>
    <tableColumn id="7" name="Orden producto"/>
    <tableColumn id="8" name="Orden global"/>
    <tableColumn id="9" name="Página fuente"/>
    <tableColumn id="10" name="Producto activo"/>
    <tableColumn id="11" name="Destacado editorial"/>
    <tableColumn id="12" name="Recomendado"/>
    <tableColumn id="13" name="Más vendido"/>
    <tableColumn id="14" name="Nuevo"/>
    <tableColumn id="15" name="Edición limitada"/>
    <tableColumn id="16" name="Etiqueta inicial"/>
    <tableColumn id="17" name="Observaciones"/>
  </tableColumns>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8.xml"/>
</Relationships>
</file>

<file path=xl/worksheets/_rels/sheet3.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12.xml"/>
</Relationships>
</file>

<file path=xl/worksheets/_rels/sheet4.xml.rels><?xml version="1.0" encoding="UTF-8"?>
<Relationships xmlns="http://schemas.openxmlformats.org/package/2006/relationships"><Relationship Id="rId1" Type="http://schemas.openxmlformats.org/officeDocument/2006/relationships/table" Target="../tables/table3.xml"/>
</Relationships>
</file>

<file path=xl/worksheets/_rels/sheet5.xml.rels><?xml version="1.0" encoding="UTF-8"?>
<Relationships xmlns="http://schemas.openxmlformats.org/package/2006/relationships"><Relationship Id="rId1" Type="http://schemas.openxmlformats.org/officeDocument/2006/relationships/drawing" Target="../drawings/drawing3.xml"/><Relationship Id="rId2" Type="http://schemas.openxmlformats.org/officeDocument/2006/relationships/table" Target="../tables/table11.xml"/>
</Relationships>
</file>

<file path=xl/worksheets/_rels/sheet6.xml.rels><?xml version="1.0" encoding="UTF-8"?>
<Relationships xmlns="http://schemas.openxmlformats.org/package/2006/relationships"><Relationship Id="rId1" Type="http://schemas.openxmlformats.org/officeDocument/2006/relationships/drawing" Target="../drawings/drawing4.xml"/><Relationship Id="rId2" Type="http://schemas.openxmlformats.org/officeDocument/2006/relationships/table" Target="../tables/table5.xml"/>
</Relationships>
</file>

<file path=xl/worksheets/_rels/sheet7.xml.rels><?xml version="1.0" encoding="UTF-8"?>
<Relationships xmlns="http://schemas.openxmlformats.org/package/2006/relationships"><Relationship Id="rId1" Type="http://schemas.openxmlformats.org/officeDocument/2006/relationships/drawing" Target="../drawings/drawing5.xml"/><Relationship Id="rId2" Type="http://schemas.openxmlformats.org/officeDocument/2006/relationships/table" Target="../tables/table7.xml"/>
</Relationships>
</file>

<file path=xl/worksheets/_rels/sheet8.xml.rels><?xml version="1.0" encoding="UTF-8"?>
<Relationships xmlns="http://schemas.openxmlformats.org/package/2006/relationships"><Relationship Id="rId1" Type="http://schemas.openxmlformats.org/officeDocument/2006/relationships/drawing" Target="../drawings/drawing6.xml"/><Relationship Id="rId2" Type="http://schemas.openxmlformats.org/officeDocument/2006/relationships/table" Target="../tables/table1.xml"/>
</Relationships>
</file>

<file path=xl/worksheets/_rels/sheet9.xml.rels><?xml version="1.0" encoding="UTF-8"?>
<Relationships xmlns="http://schemas.openxmlformats.org/package/2006/relationships"><Relationship Id="rId1" Type="http://schemas.openxmlformats.org/officeDocument/2006/relationships/drawing" Target="../drawings/drawing7.xml"/><Relationship Id="rId2" Type="http://schemas.openxmlformats.org/officeDocument/2006/relationships/table" Target="../tables/table10.xml"/>
</Relationships>
</file>

<file path=xl/worksheets/_rels/sheet10.xml.rels><?xml version="1.0" encoding="UTF-8"?>
<Relationships xmlns="http://schemas.openxmlformats.org/package/2006/relationships"><Relationship Id="rId1" Type="http://schemas.openxmlformats.org/officeDocument/2006/relationships/drawing" Target="../drawings/drawing8.xml"/><Relationship Id="rId2" Type="http://schemas.openxmlformats.org/officeDocument/2006/relationships/table" Target="../tables/table6.xml"/>
</Relationships>
</file>

<file path=xl/worksheets/_rels/sheet11.xml.rels><?xml version="1.0" encoding="UTF-8"?>
<Relationships xmlns="http://schemas.openxmlformats.org/package/2006/relationships"><Relationship Id="rId1" Type="http://schemas.openxmlformats.org/officeDocument/2006/relationships/drawing" Target="../drawings/drawing9.xml"/><Relationship Id="rId2" Type="http://schemas.openxmlformats.org/officeDocument/2006/relationships/table" Target="../tables/table9.xml"/>
</Relationships>
</file>

<file path=xl/worksheets/_rels/sheet12.xml.rels><?xml version="1.0" encoding="UTF-8"?>
<Relationships xmlns="http://schemas.openxmlformats.org/package/2006/relationships"><Relationship Id="rId1" Type="http://schemas.openxmlformats.org/officeDocument/2006/relationships/drawing" Target="../drawings/drawing10.xml"/><Relationship Id="rId2" Type="http://schemas.openxmlformats.org/officeDocument/2006/relationships/table" Target="../tables/table2.xml"/>
</Relationships>
</file>

<file path=xl/worksheets/_rels/sheet13.xml.rels><?xml version="1.0" encoding="UTF-8"?>
<Relationships xmlns="http://schemas.openxmlformats.org/package/2006/relationships"><Relationship Id="rId1" Type="http://schemas.openxmlformats.org/officeDocument/2006/relationships/drawing" Target="../drawings/drawing11.xml"/><Relationship Id="rId2" Type="http://schemas.openxmlformats.org/officeDocument/2006/relationships/table" Target="../tables/table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E4829"/>
    <pageSetUpPr fitToPage="false"/>
  </sheetPr>
  <dimension ref="A1:Z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00390625" defaultRowHeight="14.25" zeroHeight="false" outlineLevelRow="0" outlineLevelCol="0"/>
  <cols>
    <col collapsed="false" customWidth="true" hidden="false" outlineLevel="0" max="1" min="1" style="0" width="34"/>
    <col collapsed="false" customWidth="true" hidden="false" outlineLevel="0" max="2" min="2" style="0" width="18"/>
    <col collapsed="false" customWidth="true" hidden="false" outlineLevel="0" max="3" min="3" style="0" width="15"/>
    <col collapsed="false" customWidth="true" hidden="false" outlineLevel="0" max="4" min="4" style="0" width="8"/>
    <col collapsed="false" customWidth="true" hidden="false" outlineLevel="0" max="5" min="5" style="0" width="7"/>
    <col collapsed="false" customWidth="true" hidden="false" outlineLevel="0" max="6" min="6" style="0" width="66"/>
  </cols>
  <sheetData>
    <row r="1" customFormat="false" ht="33.75" hidden="false" customHeight="true" outlineLevel="0" collapsed="false">
      <c r="A1" s="1" t="s">
        <v>0</v>
      </c>
      <c r="B1" s="1"/>
      <c r="C1" s="1"/>
      <c r="D1" s="1"/>
      <c r="E1" s="1"/>
      <c r="F1" s="1"/>
      <c r="G1" s="1"/>
      <c r="H1" s="1"/>
      <c r="I1" s="2"/>
      <c r="J1" s="2"/>
      <c r="K1" s="2"/>
      <c r="L1" s="2"/>
      <c r="M1" s="2"/>
      <c r="N1" s="2"/>
      <c r="O1" s="2"/>
      <c r="P1" s="2"/>
      <c r="Q1" s="2"/>
      <c r="R1" s="2"/>
      <c r="S1" s="2"/>
      <c r="T1" s="2"/>
      <c r="U1" s="2"/>
      <c r="V1" s="2"/>
      <c r="W1" s="2"/>
      <c r="X1" s="2"/>
      <c r="Y1" s="2"/>
      <c r="Z1" s="2"/>
    </row>
    <row r="2" customFormat="false" ht="33.75" hidden="false" customHeight="true" outlineLevel="0" collapsed="false">
      <c r="A2" s="3" t="s">
        <v>1</v>
      </c>
      <c r="B2" s="3"/>
      <c r="C2" s="3"/>
      <c r="D2" s="3"/>
      <c r="E2" s="3"/>
      <c r="F2" s="3"/>
      <c r="G2" s="3"/>
      <c r="H2" s="3"/>
      <c r="I2" s="2"/>
      <c r="J2" s="2"/>
      <c r="K2" s="2"/>
      <c r="L2" s="2"/>
      <c r="M2" s="2"/>
      <c r="N2" s="2"/>
      <c r="O2" s="2"/>
      <c r="P2" s="2"/>
      <c r="Q2" s="2"/>
      <c r="R2" s="2"/>
      <c r="S2" s="2"/>
      <c r="T2" s="2"/>
      <c r="U2" s="2"/>
      <c r="V2" s="2"/>
      <c r="W2" s="2"/>
      <c r="X2" s="2"/>
      <c r="Y2" s="2"/>
      <c r="Z2" s="2"/>
    </row>
    <row r="3" customFormat="false" ht="14.25" hidden="false" customHeight="false" outlineLevel="0" collapsed="false">
      <c r="A3" s="2"/>
      <c r="B3" s="2"/>
      <c r="C3" s="2"/>
      <c r="D3" s="2"/>
      <c r="E3" s="2"/>
      <c r="F3" s="2"/>
      <c r="G3" s="2"/>
      <c r="H3" s="2"/>
      <c r="I3" s="2"/>
      <c r="J3" s="2"/>
      <c r="K3" s="2"/>
      <c r="L3" s="2"/>
      <c r="M3" s="2"/>
      <c r="N3" s="2"/>
      <c r="O3" s="2"/>
      <c r="P3" s="2"/>
      <c r="Q3" s="2"/>
      <c r="R3" s="2"/>
      <c r="S3" s="2"/>
      <c r="T3" s="2"/>
      <c r="U3" s="2"/>
      <c r="V3" s="2"/>
      <c r="W3" s="2"/>
      <c r="X3" s="2"/>
      <c r="Y3" s="2"/>
      <c r="Z3" s="2"/>
    </row>
    <row r="4" customFormat="false" ht="14.25" hidden="false" customHeight="true" outlineLevel="0" collapsed="false">
      <c r="A4" s="4" t="s">
        <v>2</v>
      </c>
      <c r="B4" s="4" t="s">
        <v>3</v>
      </c>
      <c r="C4" s="2"/>
      <c r="D4" s="4" t="s">
        <v>4</v>
      </c>
      <c r="E4" s="4"/>
      <c r="F4" s="4"/>
      <c r="G4" s="4"/>
      <c r="H4" s="4"/>
      <c r="I4" s="2"/>
      <c r="J4" s="2"/>
      <c r="K4" s="2"/>
      <c r="L4" s="2"/>
      <c r="M4" s="2"/>
      <c r="N4" s="2"/>
      <c r="O4" s="2"/>
      <c r="P4" s="2"/>
      <c r="Q4" s="2"/>
      <c r="R4" s="2"/>
      <c r="S4" s="2"/>
      <c r="T4" s="2"/>
      <c r="U4" s="2"/>
      <c r="V4" s="2"/>
      <c r="W4" s="2"/>
      <c r="X4" s="2"/>
      <c r="Y4" s="2"/>
      <c r="Z4" s="2"/>
    </row>
    <row r="5" customFormat="false" ht="17.25" hidden="false" customHeight="true" outlineLevel="0" collapsed="false">
      <c r="A5" s="5" t="s">
        <v>5</v>
      </c>
      <c r="B5" s="6" t="n">
        <f aca="false">COUNTA(02_Productos_MASTER!A5:A59)</f>
        <v>55</v>
      </c>
      <c r="C5" s="2"/>
      <c r="D5" s="5" t="s">
        <v>6</v>
      </c>
      <c r="E5" s="5" t="s">
        <v>7</v>
      </c>
      <c r="F5" s="5" t="s">
        <v>8</v>
      </c>
      <c r="G5" s="2"/>
      <c r="H5" s="2"/>
      <c r="I5" s="2"/>
      <c r="J5" s="2"/>
      <c r="K5" s="2"/>
      <c r="L5" s="2"/>
      <c r="M5" s="2"/>
      <c r="N5" s="2"/>
      <c r="O5" s="2"/>
      <c r="P5" s="2"/>
      <c r="Q5" s="2"/>
      <c r="R5" s="2"/>
      <c r="S5" s="2"/>
      <c r="T5" s="2"/>
      <c r="U5" s="2"/>
      <c r="V5" s="2"/>
      <c r="W5" s="2"/>
      <c r="X5" s="2"/>
      <c r="Y5" s="2"/>
      <c r="Z5" s="2"/>
    </row>
    <row r="6" customFormat="false" ht="17.25" hidden="false" customHeight="true" outlineLevel="0" collapsed="false">
      <c r="A6" s="5" t="s">
        <v>9</v>
      </c>
      <c r="B6" s="6" t="n">
        <f aca="false">COUNTIF(02_Productos_MASTER!J5:J59,"Sí")</f>
        <v>55</v>
      </c>
      <c r="C6" s="2"/>
      <c r="D6" s="5" t="s">
        <v>10</v>
      </c>
      <c r="E6" s="5" t="s">
        <v>11</v>
      </c>
      <c r="F6" s="5" t="s">
        <v>12</v>
      </c>
      <c r="G6" s="2"/>
      <c r="H6" s="2"/>
      <c r="I6" s="2"/>
      <c r="J6" s="2"/>
      <c r="K6" s="2"/>
      <c r="L6" s="2"/>
      <c r="M6" s="2"/>
      <c r="N6" s="2"/>
      <c r="O6" s="2"/>
      <c r="P6" s="2"/>
      <c r="Q6" s="2"/>
      <c r="R6" s="2"/>
      <c r="S6" s="2"/>
      <c r="T6" s="2"/>
      <c r="U6" s="2"/>
      <c r="V6" s="2"/>
      <c r="W6" s="2"/>
      <c r="X6" s="2"/>
      <c r="Y6" s="2"/>
      <c r="Z6" s="2"/>
    </row>
    <row r="7" customFormat="false" ht="17.25" hidden="false" customHeight="true" outlineLevel="0" collapsed="false">
      <c r="A7" s="5" t="s">
        <v>13</v>
      </c>
      <c r="B7" s="6" t="n">
        <f aca="false">COUNTA(03_Categorías!A5:A17)</f>
        <v>13</v>
      </c>
      <c r="C7" s="2"/>
      <c r="D7" s="5" t="s">
        <v>14</v>
      </c>
      <c r="E7" s="5" t="s">
        <v>15</v>
      </c>
      <c r="F7" s="5" t="s">
        <v>16</v>
      </c>
      <c r="G7" s="2"/>
      <c r="H7" s="2"/>
      <c r="I7" s="2"/>
      <c r="J7" s="2"/>
      <c r="K7" s="2"/>
      <c r="L7" s="2"/>
      <c r="M7" s="2"/>
      <c r="N7" s="2"/>
      <c r="O7" s="2"/>
      <c r="P7" s="2"/>
      <c r="Q7" s="2"/>
      <c r="R7" s="2"/>
      <c r="S7" s="2"/>
      <c r="T7" s="2"/>
      <c r="U7" s="2"/>
      <c r="V7" s="2"/>
      <c r="W7" s="2"/>
      <c r="X7" s="2"/>
      <c r="Y7" s="2"/>
      <c r="Z7" s="2"/>
    </row>
    <row r="8" customFormat="false" ht="17.25" hidden="false" customHeight="true" outlineLevel="0" collapsed="false">
      <c r="A8" s="5" t="s">
        <v>17</v>
      </c>
      <c r="B8" s="6" t="n">
        <f aca="false">COUNTIF(01_Menú_Multilingüe!N5:N59,"Completa")</f>
        <v>55</v>
      </c>
      <c r="C8" s="2"/>
      <c r="D8" s="5" t="s">
        <v>18</v>
      </c>
      <c r="E8" s="5" t="s">
        <v>19</v>
      </c>
      <c r="F8" s="5" t="s">
        <v>20</v>
      </c>
      <c r="G8" s="2"/>
      <c r="H8" s="2"/>
      <c r="I8" s="2"/>
      <c r="J8" s="2"/>
      <c r="K8" s="2"/>
      <c r="L8" s="2"/>
      <c r="M8" s="2"/>
      <c r="N8" s="2"/>
      <c r="O8" s="2"/>
      <c r="P8" s="2"/>
      <c r="Q8" s="2"/>
      <c r="R8" s="2"/>
      <c r="S8" s="2"/>
      <c r="T8" s="2"/>
      <c r="U8" s="2"/>
      <c r="V8" s="2"/>
      <c r="W8" s="2"/>
      <c r="X8" s="2"/>
      <c r="Y8" s="2"/>
      <c r="Z8" s="2"/>
    </row>
    <row r="9" customFormat="false" ht="17.25" hidden="false" customHeight="true" outlineLevel="0" collapsed="false">
      <c r="A9" s="5" t="s">
        <v>21</v>
      </c>
      <c r="B9" s="6" t="n">
        <f aca="false">COUNT(04_Precios!D5:D59)</f>
        <v>0</v>
      </c>
      <c r="C9" s="2"/>
      <c r="D9" s="5" t="s">
        <v>22</v>
      </c>
      <c r="E9" s="5" t="s">
        <v>23</v>
      </c>
      <c r="F9" s="5" t="s">
        <v>24</v>
      </c>
      <c r="G9" s="2"/>
      <c r="H9" s="2"/>
      <c r="I9" s="2"/>
      <c r="J9" s="2"/>
      <c r="K9" s="2"/>
      <c r="L9" s="2"/>
      <c r="M9" s="2"/>
      <c r="N9" s="2"/>
      <c r="O9" s="2"/>
      <c r="P9" s="2"/>
      <c r="Q9" s="2"/>
      <c r="R9" s="2"/>
      <c r="S9" s="2"/>
      <c r="T9" s="2"/>
      <c r="U9" s="2"/>
      <c r="V9" s="2"/>
      <c r="W9" s="2"/>
      <c r="X9" s="2"/>
      <c r="Y9" s="2"/>
      <c r="Z9" s="2"/>
    </row>
    <row r="10" customFormat="false" ht="17.25" hidden="false" customHeight="true" outlineLevel="0" collapsed="false">
      <c r="A10" s="5" t="s">
        <v>25</v>
      </c>
      <c r="B10" s="6" t="n">
        <f aca="false">COUNTIF(10_Multimedia_SEO!C5:C59,"&lt;&gt;")</f>
        <v>0</v>
      </c>
      <c r="C10" s="2"/>
      <c r="D10" s="5" t="s">
        <v>26</v>
      </c>
      <c r="E10" s="5" t="s">
        <v>27</v>
      </c>
      <c r="F10" s="5" t="s">
        <v>28</v>
      </c>
      <c r="G10" s="2"/>
      <c r="H10" s="2"/>
      <c r="I10" s="2"/>
      <c r="J10" s="2"/>
      <c r="K10" s="2"/>
      <c r="L10" s="2"/>
      <c r="M10" s="2"/>
      <c r="N10" s="2"/>
      <c r="O10" s="2"/>
      <c r="P10" s="2"/>
      <c r="Q10" s="2"/>
      <c r="R10" s="2"/>
      <c r="S10" s="2"/>
      <c r="T10" s="2"/>
      <c r="U10" s="2"/>
      <c r="V10" s="2"/>
      <c r="W10" s="2"/>
      <c r="X10" s="2"/>
      <c r="Y10" s="2"/>
      <c r="Z10" s="2"/>
    </row>
    <row r="11" customFormat="false" ht="17.25" hidden="false" customHeight="true" outlineLevel="0" collapsed="false">
      <c r="A11" s="5" t="s">
        <v>29</v>
      </c>
      <c r="B11" s="6" t="n">
        <f aca="false">SUM(12_Estadísticas!C5:C59)</f>
        <v>0</v>
      </c>
      <c r="C11" s="2"/>
      <c r="D11" s="5" t="s">
        <v>30</v>
      </c>
      <c r="E11" s="5" t="s">
        <v>31</v>
      </c>
      <c r="F11" s="5" t="s">
        <v>32</v>
      </c>
      <c r="G11" s="2"/>
      <c r="H11" s="2"/>
      <c r="I11" s="2"/>
      <c r="J11" s="2"/>
      <c r="K11" s="2"/>
      <c r="L11" s="2"/>
      <c r="M11" s="2"/>
      <c r="N11" s="2"/>
      <c r="O11" s="2"/>
      <c r="P11" s="2"/>
      <c r="Q11" s="2"/>
      <c r="R11" s="2"/>
      <c r="S11" s="2"/>
      <c r="T11" s="2"/>
      <c r="U11" s="2"/>
      <c r="V11" s="2"/>
      <c r="W11" s="2"/>
      <c r="X11" s="2"/>
      <c r="Y11" s="2"/>
      <c r="Z11" s="2"/>
    </row>
    <row r="12" customFormat="false" ht="17.25" hidden="false" customHeight="true" outlineLevel="0" collapsed="false">
      <c r="A12" s="5" t="s">
        <v>33</v>
      </c>
      <c r="B12" s="6" t="n">
        <f aca="false">COUNTIF(09_Ingeniería_Menú!L5:L59,"Estrella")+COUNTIF(09_Ingeniería_Menú!L5:L59,"Caballo de batalla")+COUNTIF(09_Ingeniería_Menú!L5:L59,"Incógnita")+COUNTIF(09_Ingeniería_Menú!L5:L59,"Perro")</f>
        <v>0</v>
      </c>
      <c r="C12" s="2"/>
      <c r="D12" s="2"/>
      <c r="E12" s="2"/>
      <c r="F12" s="2"/>
      <c r="G12" s="2"/>
      <c r="H12" s="2"/>
      <c r="I12" s="2"/>
      <c r="J12" s="2"/>
      <c r="K12" s="2"/>
      <c r="L12" s="2"/>
      <c r="M12" s="2"/>
      <c r="N12" s="2"/>
      <c r="O12" s="2"/>
      <c r="P12" s="2"/>
      <c r="Q12" s="2"/>
      <c r="R12" s="2"/>
      <c r="S12" s="2"/>
      <c r="T12" s="2"/>
      <c r="U12" s="2"/>
      <c r="V12" s="2"/>
      <c r="W12" s="2"/>
      <c r="X12" s="2"/>
      <c r="Y12" s="2"/>
      <c r="Z12" s="2"/>
    </row>
    <row r="13" customFormat="false" ht="14.25" hidden="false" customHeight="false" outlineLevel="0" collapsed="false">
      <c r="A13" s="2"/>
      <c r="B13" s="2"/>
      <c r="C13" s="2"/>
      <c r="D13" s="2"/>
      <c r="E13" s="2"/>
      <c r="F13" s="2"/>
      <c r="G13" s="2"/>
      <c r="H13" s="2"/>
      <c r="I13" s="2"/>
      <c r="J13" s="2"/>
      <c r="K13" s="2"/>
      <c r="L13" s="2"/>
      <c r="M13" s="2"/>
      <c r="N13" s="2"/>
      <c r="O13" s="2"/>
      <c r="P13" s="2"/>
      <c r="Q13" s="2"/>
      <c r="R13" s="2"/>
      <c r="S13" s="2"/>
      <c r="T13" s="2"/>
      <c r="U13" s="2"/>
      <c r="V13" s="2"/>
      <c r="W13" s="2"/>
      <c r="X13" s="2"/>
      <c r="Y13" s="2"/>
      <c r="Z13" s="2"/>
    </row>
    <row r="14" customFormat="false" ht="14.25" hidden="false" customHeight="false" outlineLevel="0" collapsed="false">
      <c r="A14" s="2"/>
      <c r="B14" s="2"/>
      <c r="C14" s="2"/>
      <c r="D14" s="2"/>
      <c r="E14" s="2"/>
      <c r="F14" s="2"/>
      <c r="G14" s="2"/>
      <c r="H14" s="2"/>
      <c r="I14" s="2"/>
      <c r="J14" s="2"/>
      <c r="K14" s="2"/>
      <c r="L14" s="2"/>
      <c r="M14" s="2"/>
      <c r="N14" s="2"/>
      <c r="O14" s="2"/>
      <c r="P14" s="2"/>
      <c r="Q14" s="2"/>
      <c r="R14" s="2"/>
      <c r="S14" s="2"/>
      <c r="T14" s="2"/>
      <c r="U14" s="2"/>
      <c r="V14" s="2"/>
      <c r="W14" s="2"/>
      <c r="X14" s="2"/>
      <c r="Y14" s="2"/>
      <c r="Z14" s="2"/>
    </row>
    <row r="15" customFormat="false" ht="14.25" hidden="false" customHeight="true" outlineLevel="0" collapsed="false">
      <c r="A15" s="4" t="s">
        <v>34</v>
      </c>
      <c r="B15" s="4" t="s">
        <v>35</v>
      </c>
      <c r="C15" s="4" t="s">
        <v>36</v>
      </c>
      <c r="D15" s="2"/>
      <c r="E15" s="4" t="s">
        <v>37</v>
      </c>
      <c r="F15" s="4"/>
      <c r="G15" s="4"/>
      <c r="H15" s="4"/>
      <c r="I15" s="2"/>
      <c r="J15" s="2"/>
      <c r="K15" s="2"/>
      <c r="L15" s="2"/>
      <c r="M15" s="2"/>
      <c r="N15" s="2"/>
      <c r="O15" s="2"/>
      <c r="P15" s="2"/>
      <c r="Q15" s="2"/>
      <c r="R15" s="2"/>
      <c r="S15" s="2"/>
      <c r="T15" s="2"/>
      <c r="U15" s="2"/>
      <c r="V15" s="2"/>
      <c r="W15" s="2"/>
      <c r="X15" s="2"/>
      <c r="Y15" s="2"/>
      <c r="Z15" s="2"/>
    </row>
    <row r="16" customFormat="false" ht="14.25" hidden="false" customHeight="false" outlineLevel="0" collapsed="false">
      <c r="A16" s="5" t="n">
        <v>1</v>
      </c>
      <c r="B16" s="5" t="s">
        <v>38</v>
      </c>
      <c r="C16" s="7" t="n">
        <f aca="false">03_Categorías!M5</f>
        <v>4</v>
      </c>
      <c r="D16" s="2"/>
      <c r="E16" s="5" t="s">
        <v>39</v>
      </c>
      <c r="F16" s="5" t="s">
        <v>40</v>
      </c>
      <c r="G16" s="2"/>
      <c r="H16" s="2"/>
      <c r="I16" s="2"/>
      <c r="J16" s="2"/>
      <c r="K16" s="2"/>
      <c r="L16" s="2"/>
      <c r="M16" s="2"/>
      <c r="N16" s="2"/>
      <c r="O16" s="2"/>
      <c r="P16" s="2"/>
      <c r="Q16" s="2"/>
      <c r="R16" s="2"/>
      <c r="S16" s="2"/>
      <c r="T16" s="2"/>
      <c r="U16" s="2"/>
      <c r="V16" s="2"/>
      <c r="W16" s="2"/>
      <c r="X16" s="2"/>
      <c r="Y16" s="2"/>
      <c r="Z16" s="2"/>
    </row>
    <row r="17" customFormat="false" ht="14.25" hidden="false" customHeight="false" outlineLevel="0" collapsed="false">
      <c r="A17" s="5" t="n">
        <v>2</v>
      </c>
      <c r="B17" s="5" t="s">
        <v>41</v>
      </c>
      <c r="C17" s="7" t="n">
        <f aca="false">03_Categorías!M6</f>
        <v>7</v>
      </c>
      <c r="D17" s="2"/>
      <c r="E17" s="5" t="s">
        <v>39</v>
      </c>
      <c r="F17" s="5" t="s">
        <v>42</v>
      </c>
      <c r="G17" s="2"/>
      <c r="H17" s="2"/>
      <c r="I17" s="2"/>
      <c r="J17" s="2"/>
      <c r="K17" s="2"/>
      <c r="L17" s="2"/>
      <c r="M17" s="2"/>
      <c r="N17" s="2"/>
      <c r="O17" s="2"/>
      <c r="P17" s="2"/>
      <c r="Q17" s="2"/>
      <c r="R17" s="2"/>
      <c r="S17" s="2"/>
      <c r="T17" s="2"/>
      <c r="U17" s="2"/>
      <c r="V17" s="2"/>
      <c r="W17" s="2"/>
      <c r="X17" s="2"/>
      <c r="Y17" s="2"/>
      <c r="Z17" s="2"/>
    </row>
    <row r="18" customFormat="false" ht="14.25" hidden="false" customHeight="false" outlineLevel="0" collapsed="false">
      <c r="A18" s="5" t="n">
        <v>3</v>
      </c>
      <c r="B18" s="5" t="s">
        <v>43</v>
      </c>
      <c r="C18" s="7" t="n">
        <f aca="false">03_Categorías!M7</f>
        <v>1</v>
      </c>
      <c r="D18" s="2"/>
      <c r="E18" s="5" t="s">
        <v>39</v>
      </c>
      <c r="F18" s="5" t="s">
        <v>44</v>
      </c>
      <c r="G18" s="2"/>
      <c r="H18" s="2"/>
      <c r="I18" s="2"/>
      <c r="J18" s="2"/>
      <c r="K18" s="2"/>
      <c r="L18" s="2"/>
      <c r="M18" s="2"/>
      <c r="N18" s="2"/>
      <c r="O18" s="2"/>
      <c r="P18" s="2"/>
      <c r="Q18" s="2"/>
      <c r="R18" s="2"/>
      <c r="S18" s="2"/>
      <c r="T18" s="2"/>
      <c r="U18" s="2"/>
      <c r="V18" s="2"/>
      <c r="W18" s="2"/>
      <c r="X18" s="2"/>
      <c r="Y18" s="2"/>
      <c r="Z18" s="2"/>
    </row>
    <row r="19" customFormat="false" ht="14.25" hidden="false" customHeight="false" outlineLevel="0" collapsed="false">
      <c r="A19" s="5" t="n">
        <v>4</v>
      </c>
      <c r="B19" s="5" t="s">
        <v>45</v>
      </c>
      <c r="C19" s="7" t="n">
        <f aca="false">03_Categorías!M8</f>
        <v>3</v>
      </c>
      <c r="D19" s="2"/>
      <c r="E19" s="5" t="s">
        <v>39</v>
      </c>
      <c r="F19" s="5" t="s">
        <v>46</v>
      </c>
      <c r="G19" s="2"/>
      <c r="H19" s="2"/>
      <c r="I19" s="2"/>
      <c r="J19" s="2"/>
      <c r="K19" s="2"/>
      <c r="L19" s="2"/>
      <c r="M19" s="2"/>
      <c r="N19" s="2"/>
      <c r="O19" s="2"/>
      <c r="P19" s="2"/>
      <c r="Q19" s="2"/>
      <c r="R19" s="2"/>
      <c r="S19" s="2"/>
      <c r="T19" s="2"/>
      <c r="U19" s="2"/>
      <c r="V19" s="2"/>
      <c r="W19" s="2"/>
      <c r="X19" s="2"/>
      <c r="Y19" s="2"/>
      <c r="Z19" s="2"/>
    </row>
    <row r="20" customFormat="false" ht="14.25" hidden="false" customHeight="false" outlineLevel="0" collapsed="false">
      <c r="A20" s="5" t="n">
        <v>5</v>
      </c>
      <c r="B20" s="5" t="s">
        <v>47</v>
      </c>
      <c r="C20" s="7" t="n">
        <f aca="false">03_Categorías!M9</f>
        <v>4</v>
      </c>
      <c r="D20" s="2"/>
      <c r="E20" s="5" t="s">
        <v>39</v>
      </c>
      <c r="F20" s="5" t="s">
        <v>48</v>
      </c>
      <c r="G20" s="2"/>
      <c r="H20" s="2"/>
      <c r="I20" s="2"/>
      <c r="J20" s="2"/>
      <c r="K20" s="2"/>
      <c r="L20" s="2"/>
      <c r="M20" s="2"/>
      <c r="N20" s="2"/>
      <c r="O20" s="2"/>
      <c r="P20" s="2"/>
      <c r="Q20" s="2"/>
      <c r="R20" s="2"/>
      <c r="S20" s="2"/>
      <c r="T20" s="2"/>
      <c r="U20" s="2"/>
      <c r="V20" s="2"/>
      <c r="W20" s="2"/>
      <c r="X20" s="2"/>
      <c r="Y20" s="2"/>
      <c r="Z20" s="2"/>
    </row>
    <row r="21" customFormat="false" ht="14.25" hidden="false" customHeight="false" outlineLevel="0" collapsed="false">
      <c r="A21" s="5" t="n">
        <v>6</v>
      </c>
      <c r="B21" s="5" t="s">
        <v>49</v>
      </c>
      <c r="C21" s="7" t="n">
        <f aca="false">03_Categorías!M10</f>
        <v>2</v>
      </c>
      <c r="D21" s="2"/>
      <c r="E21" s="2"/>
      <c r="F21" s="2"/>
      <c r="G21" s="2"/>
      <c r="H21" s="2"/>
      <c r="I21" s="2"/>
      <c r="J21" s="2"/>
      <c r="K21" s="2"/>
      <c r="L21" s="2"/>
      <c r="M21" s="2"/>
      <c r="N21" s="2"/>
      <c r="O21" s="2"/>
      <c r="P21" s="2"/>
      <c r="Q21" s="2"/>
      <c r="R21" s="2"/>
      <c r="S21" s="2"/>
      <c r="T21" s="2"/>
      <c r="U21" s="2"/>
      <c r="V21" s="2"/>
      <c r="W21" s="2"/>
      <c r="X21" s="2"/>
      <c r="Y21" s="2"/>
      <c r="Z21" s="2"/>
    </row>
    <row r="22" customFormat="false" ht="14.25" hidden="false" customHeight="false" outlineLevel="0" collapsed="false">
      <c r="A22" s="5" t="n">
        <v>7</v>
      </c>
      <c r="B22" s="5" t="s">
        <v>50</v>
      </c>
      <c r="C22" s="7" t="n">
        <f aca="false">03_Categorías!M11</f>
        <v>7</v>
      </c>
      <c r="D22" s="2"/>
      <c r="E22" s="2"/>
      <c r="F22" s="2"/>
      <c r="G22" s="2"/>
      <c r="H22" s="2"/>
      <c r="I22" s="2"/>
      <c r="J22" s="2"/>
      <c r="K22" s="2"/>
      <c r="L22" s="2"/>
      <c r="M22" s="2"/>
      <c r="N22" s="2"/>
      <c r="O22" s="2"/>
      <c r="P22" s="2"/>
      <c r="Q22" s="2"/>
      <c r="R22" s="2"/>
      <c r="S22" s="2"/>
      <c r="T22" s="2"/>
      <c r="U22" s="2"/>
      <c r="V22" s="2"/>
      <c r="W22" s="2"/>
      <c r="X22" s="2"/>
      <c r="Y22" s="2"/>
      <c r="Z22" s="2"/>
    </row>
    <row r="23" customFormat="false" ht="14.25" hidden="false" customHeight="false" outlineLevel="0" collapsed="false">
      <c r="A23" s="5" t="n">
        <v>8</v>
      </c>
      <c r="B23" s="5" t="s">
        <v>51</v>
      </c>
      <c r="C23" s="7" t="n">
        <f aca="false">03_Categorías!M12</f>
        <v>3</v>
      </c>
      <c r="D23" s="2"/>
      <c r="E23" s="2"/>
      <c r="F23" s="2"/>
      <c r="G23" s="2"/>
      <c r="H23" s="2"/>
      <c r="I23" s="2"/>
      <c r="J23" s="2"/>
      <c r="K23" s="2"/>
      <c r="L23" s="2"/>
      <c r="M23" s="2"/>
      <c r="N23" s="2"/>
      <c r="O23" s="2"/>
      <c r="P23" s="2"/>
      <c r="Q23" s="2"/>
      <c r="R23" s="2"/>
      <c r="S23" s="2"/>
      <c r="T23" s="2"/>
      <c r="U23" s="2"/>
      <c r="V23" s="2"/>
      <c r="W23" s="2"/>
      <c r="X23" s="2"/>
      <c r="Y23" s="2"/>
      <c r="Z23" s="2"/>
    </row>
    <row r="24" customFormat="false" ht="14.25" hidden="false" customHeight="false" outlineLevel="0" collapsed="false">
      <c r="A24" s="5" t="n">
        <v>9</v>
      </c>
      <c r="B24" s="5" t="s">
        <v>52</v>
      </c>
      <c r="C24" s="7" t="n">
        <f aca="false">03_Categorías!M13</f>
        <v>6</v>
      </c>
      <c r="D24" s="2"/>
      <c r="E24" s="2"/>
      <c r="F24" s="2"/>
      <c r="G24" s="2"/>
      <c r="H24" s="2"/>
      <c r="I24" s="2"/>
      <c r="J24" s="2"/>
      <c r="K24" s="2"/>
      <c r="L24" s="2"/>
      <c r="M24" s="2"/>
      <c r="N24" s="2"/>
      <c r="O24" s="2"/>
      <c r="P24" s="2"/>
      <c r="Q24" s="2"/>
      <c r="R24" s="2"/>
      <c r="S24" s="2"/>
      <c r="T24" s="2"/>
      <c r="U24" s="2"/>
      <c r="V24" s="2"/>
      <c r="W24" s="2"/>
      <c r="X24" s="2"/>
      <c r="Y24" s="2"/>
      <c r="Z24" s="2"/>
    </row>
    <row r="25" customFormat="false" ht="14.25" hidden="false" customHeight="false" outlineLevel="0" collapsed="false">
      <c r="A25" s="5" t="n">
        <v>10</v>
      </c>
      <c r="B25" s="5" t="s">
        <v>53</v>
      </c>
      <c r="C25" s="7" t="n">
        <f aca="false">03_Categorías!M14</f>
        <v>2</v>
      </c>
      <c r="D25" s="2"/>
      <c r="E25" s="2"/>
      <c r="F25" s="2"/>
      <c r="G25" s="2"/>
      <c r="H25" s="2"/>
      <c r="I25" s="2"/>
      <c r="J25" s="2"/>
      <c r="K25" s="2"/>
      <c r="L25" s="2"/>
      <c r="M25" s="2"/>
      <c r="N25" s="2"/>
      <c r="O25" s="2"/>
      <c r="P25" s="2"/>
      <c r="Q25" s="2"/>
      <c r="R25" s="2"/>
      <c r="S25" s="2"/>
      <c r="T25" s="2"/>
      <c r="U25" s="2"/>
      <c r="V25" s="2"/>
      <c r="W25" s="2"/>
      <c r="X25" s="2"/>
      <c r="Y25" s="2"/>
      <c r="Z25" s="2"/>
    </row>
    <row r="26" customFormat="false" ht="14.25" hidden="false" customHeight="false" outlineLevel="0" collapsed="false">
      <c r="A26" s="5" t="n">
        <v>11</v>
      </c>
      <c r="B26" s="5" t="s">
        <v>54</v>
      </c>
      <c r="C26" s="7" t="n">
        <f aca="false">03_Categorías!M15</f>
        <v>4</v>
      </c>
      <c r="D26" s="2"/>
      <c r="E26" s="2"/>
      <c r="F26" s="2"/>
      <c r="G26" s="2"/>
      <c r="H26" s="2"/>
      <c r="I26" s="2"/>
      <c r="J26" s="2"/>
      <c r="K26" s="2"/>
      <c r="L26" s="2"/>
      <c r="M26" s="2"/>
      <c r="N26" s="2"/>
      <c r="O26" s="2"/>
      <c r="P26" s="2"/>
      <c r="Q26" s="2"/>
      <c r="R26" s="2"/>
      <c r="S26" s="2"/>
      <c r="T26" s="2"/>
      <c r="U26" s="2"/>
      <c r="V26" s="2"/>
      <c r="W26" s="2"/>
      <c r="X26" s="2"/>
      <c r="Y26" s="2"/>
      <c r="Z26" s="2"/>
    </row>
    <row r="27" customFormat="false" ht="14.25" hidden="false" customHeight="false" outlineLevel="0" collapsed="false">
      <c r="A27" s="5" t="n">
        <v>12</v>
      </c>
      <c r="B27" s="5" t="s">
        <v>55</v>
      </c>
      <c r="C27" s="7" t="n">
        <f aca="false">03_Categorías!M16</f>
        <v>7</v>
      </c>
      <c r="D27" s="2"/>
      <c r="E27" s="2"/>
      <c r="F27" s="2"/>
      <c r="G27" s="2"/>
      <c r="H27" s="2"/>
      <c r="I27" s="2"/>
      <c r="J27" s="2"/>
      <c r="K27" s="2"/>
      <c r="L27" s="2"/>
      <c r="M27" s="2"/>
      <c r="N27" s="2"/>
      <c r="O27" s="2"/>
      <c r="P27" s="2"/>
      <c r="Q27" s="2"/>
      <c r="R27" s="2"/>
      <c r="S27" s="2"/>
      <c r="T27" s="2"/>
      <c r="U27" s="2"/>
      <c r="V27" s="2"/>
      <c r="W27" s="2"/>
      <c r="X27" s="2"/>
      <c r="Y27" s="2"/>
      <c r="Z27" s="2"/>
    </row>
    <row r="28" customFormat="false" ht="14.25" hidden="false" customHeight="false" outlineLevel="0" collapsed="false">
      <c r="A28" s="5" t="n">
        <v>13</v>
      </c>
      <c r="B28" s="5" t="s">
        <v>56</v>
      </c>
      <c r="C28" s="7" t="n">
        <f aca="false">03_Categorías!M17</f>
        <v>5</v>
      </c>
      <c r="D28" s="2"/>
      <c r="E28" s="2"/>
      <c r="F28" s="2"/>
      <c r="G28" s="2"/>
      <c r="H28" s="2"/>
      <c r="I28" s="2"/>
      <c r="J28" s="2"/>
      <c r="K28" s="2"/>
      <c r="L28" s="2"/>
      <c r="M28" s="2"/>
      <c r="N28" s="2"/>
      <c r="O28" s="2"/>
      <c r="P28" s="2"/>
      <c r="Q28" s="2"/>
      <c r="R28" s="2"/>
      <c r="S28" s="2"/>
      <c r="T28" s="2"/>
      <c r="U28" s="2"/>
      <c r="V28" s="2"/>
      <c r="W28" s="2"/>
      <c r="X28" s="2"/>
      <c r="Y28" s="2"/>
      <c r="Z28" s="2"/>
    </row>
    <row r="29" customFormat="false" ht="14.25" hidden="false" customHeight="false" outlineLevel="0" collapsed="false">
      <c r="A29" s="2"/>
      <c r="B29" s="2"/>
      <c r="C29" s="2"/>
      <c r="D29" s="2"/>
      <c r="E29" s="2"/>
      <c r="F29" s="2"/>
      <c r="G29" s="2"/>
      <c r="H29" s="2"/>
      <c r="I29" s="2"/>
      <c r="J29" s="2"/>
      <c r="K29" s="2"/>
      <c r="L29" s="2"/>
      <c r="M29" s="2"/>
      <c r="N29" s="2"/>
      <c r="O29" s="2"/>
      <c r="P29" s="2"/>
      <c r="Q29" s="2"/>
      <c r="R29" s="2"/>
      <c r="S29" s="2"/>
      <c r="T29" s="2"/>
      <c r="U29" s="2"/>
      <c r="V29" s="2"/>
      <c r="W29" s="2"/>
      <c r="X29" s="2"/>
      <c r="Y29" s="2"/>
      <c r="Z29" s="2"/>
    </row>
    <row r="30" customFormat="false" ht="14.25" hidden="false" customHeight="false" outlineLevel="0" collapsed="false">
      <c r="A30" s="2"/>
      <c r="B30" s="2"/>
      <c r="C30" s="2"/>
      <c r="D30" s="2"/>
      <c r="E30" s="2"/>
      <c r="F30" s="2"/>
      <c r="G30" s="2"/>
      <c r="H30" s="2"/>
      <c r="I30" s="2"/>
      <c r="J30" s="2"/>
      <c r="K30" s="2"/>
      <c r="L30" s="2"/>
      <c r="M30" s="2"/>
      <c r="N30" s="2"/>
      <c r="O30" s="2"/>
      <c r="P30" s="2"/>
      <c r="Q30" s="2"/>
      <c r="R30" s="2"/>
      <c r="S30" s="2"/>
      <c r="T30" s="2"/>
      <c r="U30" s="2"/>
      <c r="V30" s="2"/>
      <c r="W30" s="2"/>
      <c r="X30" s="2"/>
      <c r="Y30" s="2"/>
      <c r="Z30" s="2"/>
    </row>
    <row r="31" customFormat="false" ht="15" hidden="false" customHeight="false" outlineLevel="0" collapsed="false">
      <c r="A31" s="8" t="s">
        <v>57</v>
      </c>
      <c r="B31" s="2"/>
      <c r="C31" s="2"/>
      <c r="D31" s="2"/>
      <c r="E31" s="2"/>
      <c r="F31" s="2"/>
      <c r="G31" s="2"/>
      <c r="H31" s="2"/>
      <c r="I31" s="2"/>
      <c r="J31" s="2"/>
      <c r="K31" s="2"/>
      <c r="L31" s="2"/>
      <c r="M31" s="2"/>
      <c r="N31" s="2"/>
      <c r="O31" s="2"/>
      <c r="P31" s="2"/>
      <c r="Q31" s="2"/>
      <c r="R31" s="2"/>
      <c r="S31" s="2"/>
      <c r="T31" s="2"/>
      <c r="U31" s="2"/>
      <c r="V31" s="2"/>
      <c r="W31" s="2"/>
      <c r="X31" s="2"/>
      <c r="Y31" s="2"/>
      <c r="Z31" s="2"/>
    </row>
    <row r="32" customFormat="false" ht="14.25" hidden="false" customHeight="false" outlineLevel="0" collapsed="false">
      <c r="A32" s="9" t="s">
        <v>58</v>
      </c>
      <c r="B32" s="10" t="s">
        <v>59</v>
      </c>
      <c r="C32" s="10"/>
      <c r="D32" s="10"/>
      <c r="E32" s="10"/>
      <c r="F32" s="10"/>
      <c r="G32" s="10"/>
      <c r="H32" s="10"/>
      <c r="I32" s="2"/>
      <c r="J32" s="2"/>
      <c r="K32" s="2"/>
      <c r="L32" s="2"/>
      <c r="M32" s="2"/>
      <c r="N32" s="2"/>
      <c r="O32" s="2"/>
      <c r="P32" s="2"/>
      <c r="Q32" s="2"/>
      <c r="R32" s="2"/>
      <c r="S32" s="2"/>
      <c r="T32" s="2"/>
      <c r="U32" s="2"/>
      <c r="V32" s="2"/>
      <c r="W32" s="2"/>
      <c r="X32" s="2"/>
      <c r="Y32" s="2"/>
      <c r="Z32" s="2"/>
    </row>
    <row r="33" customFormat="false" ht="14.25" hidden="false" customHeight="false" outlineLevel="0" collapsed="false">
      <c r="A33" s="9" t="s">
        <v>60</v>
      </c>
      <c r="B33" s="10" t="s">
        <v>61</v>
      </c>
      <c r="C33" s="10"/>
      <c r="D33" s="10"/>
      <c r="E33" s="10"/>
      <c r="F33" s="10"/>
      <c r="G33" s="10"/>
      <c r="H33" s="10"/>
      <c r="I33" s="2"/>
      <c r="J33" s="2"/>
      <c r="K33" s="2"/>
      <c r="L33" s="2"/>
      <c r="M33" s="2"/>
      <c r="N33" s="2"/>
      <c r="O33" s="2"/>
      <c r="P33" s="2"/>
      <c r="Q33" s="2"/>
      <c r="R33" s="2"/>
      <c r="S33" s="2"/>
      <c r="T33" s="2"/>
      <c r="U33" s="2"/>
      <c r="V33" s="2"/>
      <c r="W33" s="2"/>
      <c r="X33" s="2"/>
      <c r="Y33" s="2"/>
      <c r="Z33" s="2"/>
    </row>
    <row r="34" customFormat="false" ht="14.25" hidden="false" customHeight="false" outlineLevel="0" collapsed="false">
      <c r="A34" s="9" t="s">
        <v>8</v>
      </c>
      <c r="B34" s="10" t="s">
        <v>62</v>
      </c>
      <c r="C34" s="10"/>
      <c r="D34" s="10"/>
      <c r="E34" s="10"/>
      <c r="F34" s="10"/>
      <c r="G34" s="10"/>
      <c r="H34" s="10"/>
      <c r="I34" s="2"/>
      <c r="J34" s="2"/>
      <c r="K34" s="2"/>
      <c r="L34" s="2"/>
      <c r="M34" s="2"/>
      <c r="N34" s="2"/>
      <c r="O34" s="2"/>
      <c r="P34" s="2"/>
      <c r="Q34" s="2"/>
      <c r="R34" s="2"/>
      <c r="S34" s="2"/>
      <c r="T34" s="2"/>
      <c r="U34" s="2"/>
      <c r="V34" s="2"/>
      <c r="W34" s="2"/>
      <c r="X34" s="2"/>
      <c r="Y34" s="2"/>
      <c r="Z34" s="2"/>
    </row>
    <row r="35" customFormat="false" ht="14.25" hidden="false" customHeight="false" outlineLevel="0" collapsed="false">
      <c r="A35" s="9" t="s">
        <v>63</v>
      </c>
      <c r="B35" s="10" t="s">
        <v>64</v>
      </c>
      <c r="C35" s="10"/>
      <c r="D35" s="10"/>
      <c r="E35" s="10"/>
      <c r="F35" s="10"/>
      <c r="G35" s="10"/>
      <c r="H35" s="10"/>
      <c r="I35" s="2"/>
      <c r="J35" s="2"/>
      <c r="K35" s="2"/>
      <c r="L35" s="2"/>
      <c r="M35" s="2"/>
      <c r="N35" s="2"/>
      <c r="O35" s="2"/>
      <c r="P35" s="2"/>
      <c r="Q35" s="2"/>
      <c r="R35" s="2"/>
      <c r="S35" s="2"/>
      <c r="T35" s="2"/>
      <c r="U35" s="2"/>
      <c r="V35" s="2"/>
      <c r="W35" s="2"/>
      <c r="X35" s="2"/>
      <c r="Y35" s="2"/>
      <c r="Z35" s="2"/>
    </row>
    <row r="36" customFormat="false" ht="14.25" hidden="false" customHeight="false" outlineLevel="0" collapsed="false">
      <c r="A36" s="9" t="s">
        <v>65</v>
      </c>
      <c r="B36" s="10" t="s">
        <v>66</v>
      </c>
      <c r="C36" s="10"/>
      <c r="D36" s="10"/>
      <c r="E36" s="10"/>
      <c r="F36" s="10"/>
      <c r="G36" s="10"/>
      <c r="H36" s="10"/>
      <c r="I36" s="2"/>
      <c r="J36" s="2"/>
      <c r="K36" s="2"/>
      <c r="L36" s="2"/>
      <c r="M36" s="2"/>
      <c r="N36" s="2"/>
      <c r="O36" s="2"/>
      <c r="P36" s="2"/>
      <c r="Q36" s="2"/>
      <c r="R36" s="2"/>
      <c r="S36" s="2"/>
      <c r="T36" s="2"/>
      <c r="U36" s="2"/>
      <c r="V36" s="2"/>
      <c r="W36" s="2"/>
      <c r="X36" s="2"/>
      <c r="Y36" s="2"/>
      <c r="Z36" s="2"/>
    </row>
    <row r="37" customFormat="false" ht="14.25" hidden="false" customHeight="false" outlineLevel="0" collapsed="false">
      <c r="A37" s="9" t="s">
        <v>12</v>
      </c>
      <c r="B37" s="10" t="s">
        <v>67</v>
      </c>
      <c r="C37" s="10"/>
      <c r="D37" s="10"/>
      <c r="E37" s="10"/>
      <c r="F37" s="10"/>
      <c r="G37" s="10"/>
      <c r="H37" s="10"/>
      <c r="I37" s="2"/>
      <c r="J37" s="2"/>
      <c r="K37" s="2"/>
      <c r="L37" s="2"/>
      <c r="M37" s="2"/>
      <c r="N37" s="2"/>
      <c r="O37" s="2"/>
      <c r="P37" s="2"/>
      <c r="Q37" s="2"/>
      <c r="R37" s="2"/>
      <c r="S37" s="2"/>
      <c r="T37" s="2"/>
      <c r="U37" s="2"/>
      <c r="V37" s="2"/>
      <c r="W37" s="2"/>
      <c r="X37" s="2"/>
      <c r="Y37" s="2"/>
      <c r="Z37" s="2"/>
    </row>
    <row r="38" customFormat="false" ht="14.25" hidden="false" customHeight="false" outlineLevel="0" collapsed="false">
      <c r="A38" s="9" t="s">
        <v>68</v>
      </c>
      <c r="B38" s="10" t="s">
        <v>69</v>
      </c>
      <c r="C38" s="10"/>
      <c r="D38" s="10"/>
      <c r="E38" s="10"/>
      <c r="F38" s="10"/>
      <c r="G38" s="10"/>
      <c r="H38" s="10"/>
      <c r="I38" s="2"/>
      <c r="J38" s="2"/>
      <c r="K38" s="2"/>
      <c r="L38" s="2"/>
      <c r="M38" s="2"/>
      <c r="N38" s="2"/>
      <c r="O38" s="2"/>
      <c r="P38" s="2"/>
      <c r="Q38" s="2"/>
      <c r="R38" s="2"/>
      <c r="S38" s="2"/>
      <c r="T38" s="2"/>
      <c r="U38" s="2"/>
      <c r="V38" s="2"/>
      <c r="W38" s="2"/>
      <c r="X38" s="2"/>
      <c r="Y38" s="2"/>
      <c r="Z38" s="2"/>
    </row>
    <row r="39" customFormat="false" ht="14.25" hidden="false" customHeight="false" outlineLevel="0" collapsed="false">
      <c r="A39" s="9" t="s">
        <v>32</v>
      </c>
      <c r="B39" s="10" t="s">
        <v>70</v>
      </c>
      <c r="C39" s="10"/>
      <c r="D39" s="10"/>
      <c r="E39" s="10"/>
      <c r="F39" s="10"/>
      <c r="G39" s="10"/>
      <c r="H39" s="10"/>
      <c r="I39" s="2"/>
      <c r="J39" s="2"/>
      <c r="K39" s="2"/>
      <c r="L39" s="2"/>
      <c r="M39" s="2"/>
      <c r="N39" s="2"/>
      <c r="O39" s="2"/>
      <c r="P39" s="2"/>
      <c r="Q39" s="2"/>
      <c r="R39" s="2"/>
      <c r="S39" s="2"/>
      <c r="T39" s="2"/>
      <c r="U39" s="2"/>
      <c r="V39" s="2"/>
      <c r="W39" s="2"/>
      <c r="X39" s="2"/>
      <c r="Y39" s="2"/>
      <c r="Z39" s="2"/>
    </row>
    <row r="40" customFormat="false" ht="14.25" hidden="false" customHeight="false" outlineLevel="0" collapsed="false">
      <c r="A40" s="9" t="s">
        <v>71</v>
      </c>
      <c r="B40" s="10" t="s">
        <v>72</v>
      </c>
      <c r="C40" s="10"/>
      <c r="D40" s="10"/>
      <c r="E40" s="10"/>
      <c r="F40" s="10"/>
      <c r="G40" s="10"/>
      <c r="H40" s="10"/>
      <c r="I40" s="2"/>
      <c r="J40" s="2"/>
      <c r="K40" s="2"/>
      <c r="L40" s="2"/>
      <c r="M40" s="2"/>
      <c r="N40" s="2"/>
      <c r="O40" s="2"/>
      <c r="P40" s="2"/>
      <c r="Q40" s="2"/>
      <c r="R40" s="2"/>
      <c r="S40" s="2"/>
      <c r="T40" s="2"/>
      <c r="U40" s="2"/>
      <c r="V40" s="2"/>
      <c r="W40" s="2"/>
      <c r="X40" s="2"/>
      <c r="Y40" s="2"/>
      <c r="Z40" s="2"/>
    </row>
    <row r="41" customFormat="false" ht="14.25" hidden="false" customHeight="false" outlineLevel="0" collapsed="false">
      <c r="A41" s="9" t="s">
        <v>73</v>
      </c>
      <c r="B41" s="10" t="s">
        <v>74</v>
      </c>
      <c r="C41" s="10"/>
      <c r="D41" s="10"/>
      <c r="E41" s="10"/>
      <c r="F41" s="10"/>
      <c r="G41" s="10"/>
      <c r="H41" s="10"/>
      <c r="I41" s="2"/>
      <c r="J41" s="2"/>
      <c r="K41" s="2"/>
      <c r="L41" s="2"/>
      <c r="M41" s="2"/>
      <c r="N41" s="2"/>
      <c r="O41" s="2"/>
      <c r="P41" s="2"/>
      <c r="Q41" s="2"/>
      <c r="R41" s="2"/>
      <c r="S41" s="2"/>
      <c r="T41" s="2"/>
      <c r="U41" s="2"/>
      <c r="V41" s="2"/>
      <c r="W41" s="2"/>
      <c r="X41" s="2"/>
      <c r="Y41" s="2"/>
      <c r="Z41" s="2"/>
    </row>
    <row r="42" customFormat="false" ht="14.25" hidden="false" customHeight="false" outlineLevel="0" collapsed="false">
      <c r="A42" s="9" t="s">
        <v>75</v>
      </c>
      <c r="B42" s="10" t="s">
        <v>76</v>
      </c>
      <c r="C42" s="10"/>
      <c r="D42" s="10"/>
      <c r="E42" s="10"/>
      <c r="F42" s="10"/>
      <c r="G42" s="10"/>
      <c r="H42" s="10"/>
      <c r="I42" s="2"/>
      <c r="J42" s="2"/>
      <c r="K42" s="2"/>
      <c r="L42" s="2"/>
      <c r="M42" s="2"/>
      <c r="N42" s="2"/>
      <c r="O42" s="2"/>
      <c r="P42" s="2"/>
      <c r="Q42" s="2"/>
      <c r="R42" s="2"/>
      <c r="S42" s="2"/>
      <c r="T42" s="2"/>
      <c r="U42" s="2"/>
      <c r="V42" s="2"/>
      <c r="W42" s="2"/>
      <c r="X42" s="2"/>
      <c r="Y42" s="2"/>
      <c r="Z42" s="2"/>
    </row>
    <row r="43" customFormat="false" ht="14.25" hidden="false" customHeight="fals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row>
    <row r="44" customFormat="false" ht="14.25" hidden="false" customHeight="fals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row>
    <row r="45" customFormat="false" ht="14.25" hidden="false" customHeight="fals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row>
    <row r="46" customFormat="false" ht="14.25" hidden="false" customHeight="fals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row>
    <row r="47" customFormat="false" ht="14.25" hidden="false" customHeight="fals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row>
    <row r="48" customFormat="false" ht="14.25" hidden="false" customHeight="fals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row>
    <row r="49" customFormat="false" ht="14.25" hidden="false" customHeight="fals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row>
    <row r="50" customFormat="false" ht="14.25" hidden="false" customHeight="fals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row>
    <row r="51" customFormat="false" ht="14.25" hidden="false" customHeight="fals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row>
    <row r="52" customFormat="false" ht="14.25" hidden="false" customHeight="fals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row>
    <row r="53" customFormat="false" ht="14.25" hidden="false" customHeight="fals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row>
    <row r="54" customFormat="false" ht="14.25" hidden="false" customHeight="fals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row>
    <row r="55" customFormat="false" ht="14.25" hidden="false" customHeight="fals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row>
    <row r="56" customFormat="false" ht="14.25" hidden="false" customHeight="fals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row>
    <row r="57" customFormat="false" ht="14.25" hidden="false" customHeight="fals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row>
    <row r="58" customFormat="false" ht="14.25" hidden="false" customHeight="fals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row>
    <row r="59" customFormat="false" ht="14.25" hidden="false" customHeight="fals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row>
    <row r="60" customFormat="false" ht="14.25" hidden="false" customHeight="fals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4.25" hidden="false" customHeight="fals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4.25" hidden="false" customHeight="fals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4.25" hidden="false" customHeight="fals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4.25" hidden="false" customHeight="fals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4.25" hidden="false" customHeight="fals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4.25" hidden="false" customHeight="fals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4.25" hidden="false" customHeight="fals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4.25" hidden="false" customHeight="fals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4.25" hidden="false" customHeight="fals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4.25" hidden="false" customHeight="fals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4.25" hidden="false" customHeight="fals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4.25" hidden="false" customHeight="fals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4.25" hidden="false" customHeight="fals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4.25" hidden="false" customHeight="fals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4.25" hidden="false" customHeight="fals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4.25" hidden="false" customHeight="fals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4.25" hidden="false" customHeight="fals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4.25" hidden="false" customHeight="fals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4.25" hidden="false" customHeight="fals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4.25" hidden="false" customHeight="fals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4.25" hidden="false" customHeight="fals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4.25" hidden="false" customHeight="fals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4.25" hidden="false" customHeight="fals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4.25" hidden="false" customHeight="fals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4.25" hidden="false" customHeight="fals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4.25" hidden="false" customHeight="fals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4.25" hidden="false" customHeight="fals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4.25" hidden="false" customHeight="fals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4.25" hidden="false" customHeight="fals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4.25" hidden="false" customHeight="fals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4.25" hidden="false" customHeight="fals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4.25" hidden="false" customHeight="fals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4.25" hidden="false" customHeight="fals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4.25" hidden="false" customHeight="fals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4.25" hidden="false" customHeight="fals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4.25" hidden="false" customHeight="fals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4.25" hidden="false" customHeight="fals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4.25" hidden="false" customHeight="fals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4.25" hidden="false" customHeight="fals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4.25" hidden="false" customHeight="fals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4.25" hidden="false" customHeight="fals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4.25" hidden="false" customHeight="fals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4.25" hidden="false" customHeight="fals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4.25" hidden="false" customHeight="fals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4.25" hidden="false" customHeight="fals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4.25" hidden="false" customHeight="fals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4.25" hidden="false" customHeight="fals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4.25" hidden="false" customHeight="fals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4.25" hidden="false" customHeight="fals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4.25" hidden="false" customHeight="fals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4.25" hidden="false" customHeight="fals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4.25" hidden="false" customHeight="fals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4.25" hidden="false" customHeight="fals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4.25" hidden="false" customHeight="fals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4.25" hidden="false" customHeight="fals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4.25" hidden="false" customHeight="fals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4.25" hidden="false" customHeight="fals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4.25" hidden="false" customHeight="fals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4.25" hidden="false" customHeight="fals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4.25" hidden="false" customHeight="fals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4.25" hidden="false" customHeight="fals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4.25" hidden="false" customHeight="fals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4.25" hidden="false" customHeight="fals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4.25" hidden="false" customHeight="fals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4.25" hidden="false" customHeight="fals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4.25" hidden="false" customHeight="fals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4.25" hidden="false" customHeight="fals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4.25" hidden="false" customHeight="fals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4.25" hidden="false" customHeight="fals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4.25" hidden="false" customHeight="fals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4.25" hidden="false" customHeight="fals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4.25" hidden="false" customHeight="fals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4.25" hidden="false" customHeight="fals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4.25" hidden="false" customHeight="fals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4.25" hidden="false" customHeight="fals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4.25" hidden="false" customHeight="fals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4.25" hidden="false" customHeight="fals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4.25" hidden="false" customHeight="fals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4.25" hidden="false" customHeight="fals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4.25" hidden="false" customHeight="fals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4.25" hidden="false" customHeight="fals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4.25" hidden="false" customHeight="fals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4.25" hidden="false" customHeight="fals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4.25" hidden="false" customHeight="fals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4.25" hidden="false" customHeight="fals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4.25" hidden="false" customHeight="fals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4.25" hidden="false" customHeight="fals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4.25" hidden="false" customHeight="fals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4.25" hidden="false" customHeight="fals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4.25" hidden="false" customHeight="fals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4.25" hidden="false" customHeight="fals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4.25" hidden="false" customHeight="fals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4.25" hidden="false" customHeight="fals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4.25" hidden="false" customHeight="fals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4.25" hidden="false" customHeight="fals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4.25" hidden="false" customHeight="fals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4.25" hidden="false" customHeight="fals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4.25" hidden="false" customHeight="fals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4.25" hidden="false" customHeight="fals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4.25" hidden="false" customHeight="fals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4.25" hidden="false" customHeight="fals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4.25" hidden="false" customHeight="fals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4.25" hidden="false" customHeight="fals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4.25" hidden="false" customHeight="fals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4.25" hidden="false" customHeight="fals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4.25" hidden="false" customHeight="fals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4.25" hidden="false" customHeight="fals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4.25" hidden="false" customHeight="fals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4.25" hidden="false" customHeight="fals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4.25" hidden="false" customHeight="fals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4.25" hidden="false" customHeight="fals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4.25" hidden="false" customHeight="fals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4.25" hidden="false" customHeight="fals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4.25" hidden="false" customHeight="fals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4.25" hidden="false" customHeight="fals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4.25" hidden="false" customHeight="fals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4.25" hidden="false" customHeight="fals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4.25" hidden="false" customHeight="fals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4.25" hidden="false" customHeight="fals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4.25" hidden="false" customHeight="fals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4.25" hidden="false" customHeight="fals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4.25" hidden="false" customHeight="fals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4.25" hidden="false" customHeight="fals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4.25" hidden="false" customHeight="fals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4.25" hidden="false" customHeight="fals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4.25" hidden="false" customHeight="fals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4.25" hidden="false" customHeight="fals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4.25" hidden="false" customHeight="fals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4.25" hidden="false" customHeight="fals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4.25" hidden="false" customHeight="fals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4.25" hidden="false" customHeight="fals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4.25" hidden="false" customHeight="fals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4.25" hidden="false" customHeight="fals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4.25" hidden="false" customHeight="fals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4.25" hidden="false" customHeight="fals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4.25" hidden="false" customHeight="fals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4.25" hidden="false" customHeight="fals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4.25" hidden="false" customHeight="fals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4.25" hidden="false" customHeight="fals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4.25" hidden="false" customHeight="fals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sheetData>
  <mergeCells count="15">
    <mergeCell ref="A1:H1"/>
    <mergeCell ref="A2:H2"/>
    <mergeCell ref="D4:H4"/>
    <mergeCell ref="E15:H15"/>
    <mergeCell ref="B32:H32"/>
    <mergeCell ref="B33:H33"/>
    <mergeCell ref="B34:H34"/>
    <mergeCell ref="B35:H35"/>
    <mergeCell ref="B36:H36"/>
    <mergeCell ref="B37:H37"/>
    <mergeCell ref="B38:H38"/>
    <mergeCell ref="B39:H39"/>
    <mergeCell ref="B40:H40"/>
    <mergeCell ref="B41:H41"/>
    <mergeCell ref="B42:H42"/>
  </mergeCells>
  <conditionalFormatting sqref="C16:C28">
    <cfRule type="dataBar" priority="2">
      <dataBar showValue="1" minLength="10" maxLength="90">
        <cfvo type="min" val="0"/>
        <cfvo type="max" val="0"/>
        <color rgb="FF4E5A30"/>
      </dataBar>
      <extLst>
        <ext xmlns:x14="http://schemas.microsoft.com/office/spreadsheetml/2009/9/main" uri="{B025F937-C7B1-47D3-B67F-A62EFF666E3E}">
          <x14:id>{C162A79B-C7B6-4CF4-B1E3-8E67991D396B}</x14:id>
        </ext>
      </extLst>
    </cfRule>
    <cfRule type="dataBar" priority="3">
      <dataBar showValue="1" minLength="10" maxLength="90">
        <cfvo type="min" val="0"/>
        <cfvo type="max" val="0"/>
        <color rgb="FF4E5A30"/>
      </dataBar>
      <extLst>
        <ext xmlns:x14="http://schemas.microsoft.com/office/spreadsheetml/2009/9/main" uri="{B025F937-C7B1-47D3-B67F-A62EFF666E3E}">
          <x14:id>{C2F8F9B1-DA38-4F2D-8C88-B7B8624EF959}</x14:id>
        </ext>
      </extLst>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C162A79B-C7B6-4CF4-B1E3-8E67991D396B}">
            <x14:dataBar minLength="10" maxLength="90" axisPosition="none" gradient="true">
              <x14:cfvo type="min"/>
              <x14:cfvo type="max"/>
              <x14:negativeFillColor rgb="FF4E5A30"/>
              <x14:axisColor rgb="FF000000"/>
            </x14:dataBar>
          </x14:cfRule>
          <x14:cfRule type="dataBar" id="{C2F8F9B1-DA38-4F2D-8C88-B7B8624EF959}">
            <x14:dataBar minLength="10" maxLength="90" axisPosition="none" gradient="true">
              <x14:cfvo type="min"/>
              <x14:cfvo type="max"/>
              <x14:negativeFillColor rgb="FF4E5A30"/>
              <x14:axisColor rgb="FF000000"/>
            </x14:dataBar>
          </x14:cfRule>
          <xm:sqref>C16:C28</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36039"/>
    <pageSetUpPr fitToPage="false"/>
  </sheetPr>
  <dimension ref="A1:Z200"/>
  <sheetViews>
    <sheetView showFormulas="false" showGridLines="true" showRowColHeaders="true" showZeros="true" rightToLeft="false" tabSelected="false" showOutlineSymbols="true" defaultGridColor="true" view="normal" topLeftCell="A53" colorId="64" zoomScale="100" zoomScaleNormal="100" zoomScalePageLayoutView="100" workbookViewId="0">
      <pane xSplit="2" ySplit="4" topLeftCell="C5" activePane="bottomRight" state="frozen"/>
      <selection pane="topLeft" activeCell="A53" activeCellId="0" sqref="A53"/>
      <selection pane="topRight" activeCell="C53" activeCellId="0" sqref="C53"/>
      <selection pane="bottomLeft" activeCell="A5" activeCellId="0" sqref="A5"/>
      <selection pane="bottomRight" activeCell="A1" activeCellId="0" sqref="A1"/>
    </sheetView>
  </sheetViews>
  <sheetFormatPr defaultColWidth="9.00390625" defaultRowHeight="14.25" zeroHeight="false" outlineLevelRow="0" outlineLevelCol="0"/>
  <cols>
    <col collapsed="false" customWidth="true" hidden="false" outlineLevel="0" max="1" min="1" style="0" width="12"/>
    <col collapsed="false" customWidth="true" hidden="false" outlineLevel="0" max="2" min="2" style="0" width="27"/>
    <col collapsed="false" customWidth="true" hidden="false" outlineLevel="0" max="4" min="4" style="0" width="26"/>
    <col collapsed="false" customWidth="true" hidden="false" outlineLevel="0" max="5" min="5" style="0" width="28"/>
    <col collapsed="false" customWidth="true" hidden="false" outlineLevel="0" max="8" min="6" style="0" width="30"/>
    <col collapsed="false" customWidth="true" hidden="false" outlineLevel="0" max="13" min="9" style="0" width="52"/>
    <col collapsed="false" customWidth="true" hidden="false" outlineLevel="0" max="14" min="14" style="0" width="18"/>
  </cols>
  <sheetData>
    <row r="1" customFormat="false" ht="30" hidden="false" customHeight="true" outlineLevel="0" collapsed="false">
      <c r="A1" s="1" t="s">
        <v>77</v>
      </c>
      <c r="B1" s="1"/>
      <c r="C1" s="1"/>
      <c r="D1" s="1"/>
      <c r="E1" s="1"/>
      <c r="F1" s="1"/>
      <c r="G1" s="1"/>
      <c r="H1" s="1"/>
      <c r="I1" s="1"/>
      <c r="J1" s="1"/>
      <c r="K1" s="1"/>
      <c r="L1" s="1"/>
      <c r="M1" s="1"/>
      <c r="N1" s="1"/>
      <c r="O1" s="2"/>
      <c r="P1" s="2"/>
      <c r="Q1" s="2"/>
      <c r="R1" s="2"/>
      <c r="S1" s="2"/>
      <c r="T1" s="2"/>
      <c r="U1" s="2"/>
      <c r="V1" s="2"/>
      <c r="W1" s="2"/>
      <c r="X1" s="2"/>
      <c r="Y1" s="2"/>
      <c r="Z1" s="2"/>
    </row>
    <row r="2" customFormat="false" ht="30" hidden="false" customHeight="true" outlineLevel="0" collapsed="false">
      <c r="A2" s="3" t="s">
        <v>78</v>
      </c>
      <c r="B2" s="3"/>
      <c r="C2" s="3"/>
      <c r="D2" s="3"/>
      <c r="E2" s="3"/>
      <c r="F2" s="3"/>
      <c r="G2" s="3"/>
      <c r="H2" s="3"/>
      <c r="I2" s="3"/>
      <c r="J2" s="3"/>
      <c r="K2" s="3"/>
      <c r="L2" s="3"/>
      <c r="M2" s="3"/>
      <c r="N2" s="3"/>
      <c r="O2" s="2"/>
      <c r="P2" s="2"/>
      <c r="Q2" s="2"/>
      <c r="R2" s="2"/>
      <c r="S2" s="2"/>
      <c r="T2" s="2"/>
      <c r="U2" s="2"/>
      <c r="V2" s="2"/>
      <c r="W2" s="2"/>
      <c r="X2" s="2"/>
      <c r="Y2" s="2"/>
      <c r="Z2" s="2"/>
    </row>
    <row r="3" customFormat="false" ht="14.25" hidden="false" customHeight="false" outlineLevel="0" collapsed="false">
      <c r="A3" s="2"/>
      <c r="B3" s="2"/>
      <c r="C3" s="2"/>
      <c r="D3" s="2"/>
      <c r="E3" s="2"/>
      <c r="F3" s="2"/>
      <c r="G3" s="2"/>
      <c r="H3" s="2"/>
      <c r="I3" s="2"/>
      <c r="J3" s="2"/>
      <c r="K3" s="2"/>
      <c r="L3" s="2"/>
      <c r="M3" s="2"/>
      <c r="N3" s="2"/>
      <c r="O3" s="2"/>
      <c r="P3" s="2"/>
      <c r="Q3" s="2"/>
      <c r="R3" s="2"/>
      <c r="S3" s="2"/>
      <c r="T3" s="2"/>
      <c r="U3" s="2"/>
      <c r="V3" s="2"/>
      <c r="W3" s="2"/>
      <c r="X3" s="2"/>
      <c r="Y3" s="2"/>
      <c r="Z3" s="2"/>
    </row>
    <row r="4" customFormat="false" ht="36" hidden="false" customHeight="true" outlineLevel="0" collapsed="false">
      <c r="A4" s="11" t="s">
        <v>79</v>
      </c>
      <c r="B4" s="11" t="s">
        <v>35</v>
      </c>
      <c r="C4" s="11" t="s">
        <v>34</v>
      </c>
      <c r="D4" s="11" t="s">
        <v>80</v>
      </c>
      <c r="E4" s="11" t="s">
        <v>81</v>
      </c>
      <c r="F4" s="11" t="s">
        <v>82</v>
      </c>
      <c r="G4" s="11" t="s">
        <v>83</v>
      </c>
      <c r="H4" s="11" t="s">
        <v>84</v>
      </c>
      <c r="I4" s="11" t="s">
        <v>85</v>
      </c>
      <c r="J4" s="11" t="s">
        <v>86</v>
      </c>
      <c r="K4" s="11" t="s">
        <v>87</v>
      </c>
      <c r="L4" s="11" t="s">
        <v>88</v>
      </c>
      <c r="M4" s="11" t="s">
        <v>89</v>
      </c>
      <c r="N4" s="11" t="s">
        <v>90</v>
      </c>
      <c r="O4" s="2"/>
      <c r="P4" s="2"/>
      <c r="Q4" s="2"/>
      <c r="R4" s="2"/>
      <c r="S4" s="2"/>
      <c r="T4" s="2"/>
      <c r="U4" s="2"/>
      <c r="V4" s="2"/>
      <c r="W4" s="2"/>
      <c r="X4" s="2"/>
      <c r="Y4" s="2"/>
      <c r="Z4" s="2"/>
    </row>
    <row r="5" customFormat="false" ht="42" hidden="false" customHeight="true" outlineLevel="0" collapsed="false">
      <c r="A5" s="12" t="s">
        <v>91</v>
      </c>
      <c r="B5" s="12" t="s">
        <v>38</v>
      </c>
      <c r="C5" s="13" t="n">
        <v>1</v>
      </c>
      <c r="D5" s="12" t="s">
        <v>92</v>
      </c>
      <c r="E5" s="12" t="s">
        <v>93</v>
      </c>
      <c r="F5" s="12" t="s">
        <v>94</v>
      </c>
      <c r="G5" s="12" t="s">
        <v>95</v>
      </c>
      <c r="H5" s="12" t="s">
        <v>96</v>
      </c>
      <c r="I5" s="12" t="s">
        <v>97</v>
      </c>
      <c r="J5" s="12" t="s">
        <v>98</v>
      </c>
      <c r="K5" s="12" t="s">
        <v>99</v>
      </c>
      <c r="L5" s="12" t="s">
        <v>100</v>
      </c>
      <c r="M5" s="12" t="s">
        <v>101</v>
      </c>
      <c r="N5" s="12" t="str">
        <f aca="false">IF(COUNTA(D5:M5)=10,"Completa","Revisar")</f>
        <v>Completa</v>
      </c>
      <c r="O5" s="2"/>
      <c r="P5" s="2"/>
      <c r="Q5" s="2"/>
      <c r="R5" s="2"/>
      <c r="S5" s="2"/>
      <c r="T5" s="2"/>
      <c r="U5" s="2"/>
      <c r="V5" s="2"/>
      <c r="W5" s="2"/>
      <c r="X5" s="2"/>
      <c r="Y5" s="2"/>
      <c r="Z5" s="2"/>
    </row>
    <row r="6" customFormat="false" ht="42" hidden="false" customHeight="true" outlineLevel="0" collapsed="false">
      <c r="A6" s="12" t="s">
        <v>102</v>
      </c>
      <c r="B6" s="12" t="s">
        <v>38</v>
      </c>
      <c r="C6" s="13" t="n">
        <v>2</v>
      </c>
      <c r="D6" s="12" t="s">
        <v>103</v>
      </c>
      <c r="E6" s="12" t="s">
        <v>104</v>
      </c>
      <c r="F6" s="12" t="s">
        <v>105</v>
      </c>
      <c r="G6" s="12" t="s">
        <v>106</v>
      </c>
      <c r="H6" s="12" t="s">
        <v>107</v>
      </c>
      <c r="I6" s="12" t="s">
        <v>108</v>
      </c>
      <c r="J6" s="12" t="s">
        <v>109</v>
      </c>
      <c r="K6" s="12" t="s">
        <v>110</v>
      </c>
      <c r="L6" s="12" t="s">
        <v>111</v>
      </c>
      <c r="M6" s="12" t="s">
        <v>112</v>
      </c>
      <c r="N6" s="12" t="str">
        <f aca="false">IF(COUNTA(D6:M6)=10,"Completa","Revisar")</f>
        <v>Completa</v>
      </c>
      <c r="O6" s="2"/>
      <c r="P6" s="2"/>
      <c r="Q6" s="2"/>
      <c r="R6" s="2"/>
      <c r="S6" s="2"/>
      <c r="T6" s="2"/>
      <c r="U6" s="2"/>
      <c r="V6" s="2"/>
      <c r="W6" s="2"/>
      <c r="X6" s="2"/>
      <c r="Y6" s="2"/>
      <c r="Z6" s="2"/>
    </row>
    <row r="7" customFormat="false" ht="42" hidden="false" customHeight="true" outlineLevel="0" collapsed="false">
      <c r="A7" s="12" t="s">
        <v>113</v>
      </c>
      <c r="B7" s="12" t="s">
        <v>38</v>
      </c>
      <c r="C7" s="13" t="n">
        <v>3</v>
      </c>
      <c r="D7" s="12" t="s">
        <v>114</v>
      </c>
      <c r="E7" s="12" t="s">
        <v>115</v>
      </c>
      <c r="F7" s="12" t="s">
        <v>116</v>
      </c>
      <c r="G7" s="12" t="s">
        <v>117</v>
      </c>
      <c r="H7" s="12" t="s">
        <v>118</v>
      </c>
      <c r="I7" s="12" t="s">
        <v>119</v>
      </c>
      <c r="J7" s="12" t="s">
        <v>120</v>
      </c>
      <c r="K7" s="12" t="s">
        <v>121</v>
      </c>
      <c r="L7" s="12" t="s">
        <v>122</v>
      </c>
      <c r="M7" s="12" t="s">
        <v>123</v>
      </c>
      <c r="N7" s="12" t="str">
        <f aca="false">IF(COUNTA(D7:M7)=10,"Completa","Revisar")</f>
        <v>Completa</v>
      </c>
      <c r="O7" s="2"/>
      <c r="P7" s="2"/>
      <c r="Q7" s="2"/>
      <c r="R7" s="2"/>
      <c r="S7" s="2"/>
      <c r="T7" s="2"/>
      <c r="U7" s="2"/>
      <c r="V7" s="2"/>
      <c r="W7" s="2"/>
      <c r="X7" s="2"/>
      <c r="Y7" s="2"/>
      <c r="Z7" s="2"/>
    </row>
    <row r="8" customFormat="false" ht="42" hidden="false" customHeight="true" outlineLevel="0" collapsed="false">
      <c r="A8" s="12" t="s">
        <v>124</v>
      </c>
      <c r="B8" s="12" t="s">
        <v>38</v>
      </c>
      <c r="C8" s="13" t="n">
        <v>4</v>
      </c>
      <c r="D8" s="12" t="s">
        <v>125</v>
      </c>
      <c r="E8" s="12" t="s">
        <v>126</v>
      </c>
      <c r="F8" s="12" t="s">
        <v>127</v>
      </c>
      <c r="G8" s="12" t="s">
        <v>128</v>
      </c>
      <c r="H8" s="12" t="s">
        <v>129</v>
      </c>
      <c r="I8" s="12" t="s">
        <v>130</v>
      </c>
      <c r="J8" s="12" t="s">
        <v>131</v>
      </c>
      <c r="K8" s="12" t="s">
        <v>132</v>
      </c>
      <c r="L8" s="12" t="s">
        <v>133</v>
      </c>
      <c r="M8" s="12" t="s">
        <v>134</v>
      </c>
      <c r="N8" s="12" t="str">
        <f aca="false">IF(COUNTA(D8:M8)=10,"Completa","Revisar")</f>
        <v>Completa</v>
      </c>
      <c r="O8" s="2"/>
      <c r="P8" s="2"/>
      <c r="Q8" s="2"/>
      <c r="R8" s="2"/>
      <c r="S8" s="2"/>
      <c r="T8" s="2"/>
      <c r="U8" s="2"/>
      <c r="V8" s="2"/>
      <c r="W8" s="2"/>
      <c r="X8" s="2"/>
      <c r="Y8" s="2"/>
      <c r="Z8" s="2"/>
    </row>
    <row r="9" customFormat="false" ht="42" hidden="false" customHeight="true" outlineLevel="0" collapsed="false">
      <c r="A9" s="12" t="s">
        <v>135</v>
      </c>
      <c r="B9" s="12" t="s">
        <v>41</v>
      </c>
      <c r="C9" s="13" t="n">
        <v>1</v>
      </c>
      <c r="D9" s="12" t="s">
        <v>136</v>
      </c>
      <c r="E9" s="12" t="s">
        <v>137</v>
      </c>
      <c r="F9" s="12" t="s">
        <v>138</v>
      </c>
      <c r="G9" s="12" t="s">
        <v>139</v>
      </c>
      <c r="H9" s="12" t="s">
        <v>140</v>
      </c>
      <c r="I9" s="12" t="s">
        <v>141</v>
      </c>
      <c r="J9" s="12" t="s">
        <v>142</v>
      </c>
      <c r="K9" s="12" t="s">
        <v>143</v>
      </c>
      <c r="L9" s="12" t="s">
        <v>144</v>
      </c>
      <c r="M9" s="12" t="s">
        <v>145</v>
      </c>
      <c r="N9" s="12" t="str">
        <f aca="false">IF(COUNTA(D9:M9)=10,"Completa","Revisar")</f>
        <v>Completa</v>
      </c>
      <c r="O9" s="2"/>
      <c r="P9" s="2"/>
      <c r="Q9" s="2"/>
      <c r="R9" s="2"/>
      <c r="S9" s="2"/>
      <c r="T9" s="2"/>
      <c r="U9" s="2"/>
      <c r="V9" s="2"/>
      <c r="W9" s="2"/>
      <c r="X9" s="2"/>
      <c r="Y9" s="2"/>
      <c r="Z9" s="2"/>
    </row>
    <row r="10" customFormat="false" ht="42" hidden="false" customHeight="true" outlineLevel="0" collapsed="false">
      <c r="A10" s="12" t="s">
        <v>146</v>
      </c>
      <c r="B10" s="12" t="s">
        <v>41</v>
      </c>
      <c r="C10" s="13" t="n">
        <v>2</v>
      </c>
      <c r="D10" s="12" t="s">
        <v>147</v>
      </c>
      <c r="E10" s="12" t="s">
        <v>148</v>
      </c>
      <c r="F10" s="12" t="s">
        <v>149</v>
      </c>
      <c r="G10" s="12" t="s">
        <v>150</v>
      </c>
      <c r="H10" s="12" t="s">
        <v>151</v>
      </c>
      <c r="I10" s="12" t="s">
        <v>152</v>
      </c>
      <c r="J10" s="12" t="s">
        <v>153</v>
      </c>
      <c r="K10" s="12" t="s">
        <v>154</v>
      </c>
      <c r="L10" s="12" t="s">
        <v>155</v>
      </c>
      <c r="M10" s="12" t="s">
        <v>156</v>
      </c>
      <c r="N10" s="12" t="str">
        <f aca="false">IF(COUNTA(D10:M10)=10,"Completa","Revisar")</f>
        <v>Completa</v>
      </c>
      <c r="O10" s="2"/>
      <c r="P10" s="2"/>
      <c r="Q10" s="2"/>
      <c r="R10" s="2"/>
      <c r="S10" s="2"/>
      <c r="T10" s="2"/>
      <c r="U10" s="2"/>
      <c r="V10" s="2"/>
      <c r="W10" s="2"/>
      <c r="X10" s="2"/>
      <c r="Y10" s="2"/>
      <c r="Z10" s="2"/>
    </row>
    <row r="11" customFormat="false" ht="42" hidden="false" customHeight="true" outlineLevel="0" collapsed="false">
      <c r="A11" s="12" t="s">
        <v>157</v>
      </c>
      <c r="B11" s="12" t="s">
        <v>41</v>
      </c>
      <c r="C11" s="13" t="n">
        <v>3</v>
      </c>
      <c r="D11" s="12" t="s">
        <v>158</v>
      </c>
      <c r="E11" s="12" t="s">
        <v>159</v>
      </c>
      <c r="F11" s="12" t="s">
        <v>160</v>
      </c>
      <c r="G11" s="12" t="s">
        <v>161</v>
      </c>
      <c r="H11" s="12" t="s">
        <v>162</v>
      </c>
      <c r="I11" s="12" t="s">
        <v>163</v>
      </c>
      <c r="J11" s="12" t="s">
        <v>164</v>
      </c>
      <c r="K11" s="12" t="s">
        <v>165</v>
      </c>
      <c r="L11" s="12" t="s">
        <v>166</v>
      </c>
      <c r="M11" s="12" t="s">
        <v>167</v>
      </c>
      <c r="N11" s="12" t="str">
        <f aca="false">IF(COUNTA(D11:M11)=10,"Completa","Revisar")</f>
        <v>Completa</v>
      </c>
      <c r="O11" s="2"/>
      <c r="P11" s="2"/>
      <c r="Q11" s="2"/>
      <c r="R11" s="2"/>
      <c r="S11" s="2"/>
      <c r="T11" s="2"/>
      <c r="U11" s="2"/>
      <c r="V11" s="2"/>
      <c r="W11" s="2"/>
      <c r="X11" s="2"/>
      <c r="Y11" s="2"/>
      <c r="Z11" s="2"/>
    </row>
    <row r="12" customFormat="false" ht="42" hidden="false" customHeight="true" outlineLevel="0" collapsed="false">
      <c r="A12" s="12" t="s">
        <v>168</v>
      </c>
      <c r="B12" s="12" t="s">
        <v>41</v>
      </c>
      <c r="C12" s="13" t="n">
        <v>4</v>
      </c>
      <c r="D12" s="12" t="s">
        <v>169</v>
      </c>
      <c r="E12" s="12" t="s">
        <v>170</v>
      </c>
      <c r="F12" s="12" t="s">
        <v>171</v>
      </c>
      <c r="G12" s="12" t="s">
        <v>172</v>
      </c>
      <c r="H12" s="12" t="s">
        <v>173</v>
      </c>
      <c r="I12" s="12" t="s">
        <v>174</v>
      </c>
      <c r="J12" s="12" t="s">
        <v>175</v>
      </c>
      <c r="K12" s="12" t="s">
        <v>176</v>
      </c>
      <c r="L12" s="12" t="s">
        <v>177</v>
      </c>
      <c r="M12" s="12" t="s">
        <v>178</v>
      </c>
      <c r="N12" s="12" t="str">
        <f aca="false">IF(COUNTA(D12:M12)=10,"Completa","Revisar")</f>
        <v>Completa</v>
      </c>
      <c r="O12" s="2"/>
      <c r="P12" s="2"/>
      <c r="Q12" s="2"/>
      <c r="R12" s="2"/>
      <c r="S12" s="2"/>
      <c r="T12" s="2"/>
      <c r="U12" s="2"/>
      <c r="V12" s="2"/>
      <c r="W12" s="2"/>
      <c r="X12" s="2"/>
      <c r="Y12" s="2"/>
      <c r="Z12" s="2"/>
    </row>
    <row r="13" customFormat="false" ht="42" hidden="false" customHeight="true" outlineLevel="0" collapsed="false">
      <c r="A13" s="12" t="s">
        <v>179</v>
      </c>
      <c r="B13" s="12" t="s">
        <v>41</v>
      </c>
      <c r="C13" s="13" t="n">
        <v>5</v>
      </c>
      <c r="D13" s="12" t="s">
        <v>180</v>
      </c>
      <c r="E13" s="12" t="s">
        <v>181</v>
      </c>
      <c r="F13" s="12" t="s">
        <v>182</v>
      </c>
      <c r="G13" s="12" t="s">
        <v>183</v>
      </c>
      <c r="H13" s="12" t="s">
        <v>184</v>
      </c>
      <c r="I13" s="12" t="s">
        <v>185</v>
      </c>
      <c r="J13" s="12" t="s">
        <v>186</v>
      </c>
      <c r="K13" s="12" t="s">
        <v>187</v>
      </c>
      <c r="L13" s="12" t="s">
        <v>188</v>
      </c>
      <c r="M13" s="12" t="s">
        <v>189</v>
      </c>
      <c r="N13" s="12" t="str">
        <f aca="false">IF(COUNTA(D13:M13)=10,"Completa","Revisar")</f>
        <v>Completa</v>
      </c>
      <c r="O13" s="2"/>
      <c r="P13" s="2"/>
      <c r="Q13" s="2"/>
      <c r="R13" s="2"/>
      <c r="S13" s="2"/>
      <c r="T13" s="2"/>
      <c r="U13" s="2"/>
      <c r="V13" s="2"/>
      <c r="W13" s="2"/>
      <c r="X13" s="2"/>
      <c r="Y13" s="2"/>
      <c r="Z13" s="2"/>
    </row>
    <row r="14" customFormat="false" ht="42" hidden="false" customHeight="true" outlineLevel="0" collapsed="false">
      <c r="A14" s="12" t="s">
        <v>190</v>
      </c>
      <c r="B14" s="12" t="s">
        <v>41</v>
      </c>
      <c r="C14" s="13" t="n">
        <v>6</v>
      </c>
      <c r="D14" s="12" t="s">
        <v>191</v>
      </c>
      <c r="E14" s="12" t="s">
        <v>192</v>
      </c>
      <c r="F14" s="12" t="s">
        <v>191</v>
      </c>
      <c r="G14" s="12" t="s">
        <v>193</v>
      </c>
      <c r="H14" s="12" t="s">
        <v>194</v>
      </c>
      <c r="I14" s="12" t="s">
        <v>195</v>
      </c>
      <c r="J14" s="12" t="s">
        <v>196</v>
      </c>
      <c r="K14" s="12" t="s">
        <v>197</v>
      </c>
      <c r="L14" s="12" t="s">
        <v>198</v>
      </c>
      <c r="M14" s="12" t="s">
        <v>199</v>
      </c>
      <c r="N14" s="12" t="str">
        <f aca="false">IF(COUNTA(D14:M14)=10,"Completa","Revisar")</f>
        <v>Completa</v>
      </c>
      <c r="O14" s="2"/>
      <c r="P14" s="2"/>
      <c r="Q14" s="2"/>
      <c r="R14" s="2"/>
      <c r="S14" s="2"/>
      <c r="T14" s="2"/>
      <c r="U14" s="2"/>
      <c r="V14" s="2"/>
      <c r="W14" s="2"/>
      <c r="X14" s="2"/>
      <c r="Y14" s="2"/>
      <c r="Z14" s="2"/>
    </row>
    <row r="15" customFormat="false" ht="42" hidden="false" customHeight="true" outlineLevel="0" collapsed="false">
      <c r="A15" s="12" t="s">
        <v>200</v>
      </c>
      <c r="B15" s="12" t="s">
        <v>41</v>
      </c>
      <c r="C15" s="13" t="n">
        <v>7</v>
      </c>
      <c r="D15" s="12" t="s">
        <v>201</v>
      </c>
      <c r="E15" s="12" t="s">
        <v>202</v>
      </c>
      <c r="F15" s="12" t="s">
        <v>201</v>
      </c>
      <c r="G15" s="12" t="s">
        <v>201</v>
      </c>
      <c r="H15" s="12" t="s">
        <v>201</v>
      </c>
      <c r="I15" s="12" t="s">
        <v>203</v>
      </c>
      <c r="J15" s="12" t="s">
        <v>204</v>
      </c>
      <c r="K15" s="12" t="s">
        <v>205</v>
      </c>
      <c r="L15" s="12" t="s">
        <v>206</v>
      </c>
      <c r="M15" s="12" t="s">
        <v>207</v>
      </c>
      <c r="N15" s="12" t="str">
        <f aca="false">IF(COUNTA(D15:M15)=10,"Completa","Revisar")</f>
        <v>Completa</v>
      </c>
      <c r="O15" s="2"/>
      <c r="P15" s="2"/>
      <c r="Q15" s="2"/>
      <c r="R15" s="2"/>
      <c r="S15" s="2"/>
      <c r="T15" s="2"/>
      <c r="U15" s="2"/>
      <c r="V15" s="2"/>
      <c r="W15" s="2"/>
      <c r="X15" s="2"/>
      <c r="Y15" s="2"/>
      <c r="Z15" s="2"/>
    </row>
    <row r="16" customFormat="false" ht="42" hidden="false" customHeight="true" outlineLevel="0" collapsed="false">
      <c r="A16" s="12" t="s">
        <v>208</v>
      </c>
      <c r="B16" s="12" t="s">
        <v>43</v>
      </c>
      <c r="C16" s="13" t="n">
        <v>1</v>
      </c>
      <c r="D16" s="12" t="s">
        <v>209</v>
      </c>
      <c r="E16" s="12" t="s">
        <v>210</v>
      </c>
      <c r="F16" s="12" t="s">
        <v>211</v>
      </c>
      <c r="G16" s="12" t="s">
        <v>212</v>
      </c>
      <c r="H16" s="12" t="s">
        <v>213</v>
      </c>
      <c r="I16" s="12" t="s">
        <v>214</v>
      </c>
      <c r="J16" s="12" t="s">
        <v>215</v>
      </c>
      <c r="K16" s="12" t="s">
        <v>216</v>
      </c>
      <c r="L16" s="12" t="s">
        <v>217</v>
      </c>
      <c r="M16" s="12" t="s">
        <v>218</v>
      </c>
      <c r="N16" s="12" t="str">
        <f aca="false">IF(COUNTA(D16:M16)=10,"Completa","Revisar")</f>
        <v>Completa</v>
      </c>
      <c r="O16" s="2"/>
      <c r="P16" s="2"/>
      <c r="Q16" s="2"/>
      <c r="R16" s="2"/>
      <c r="S16" s="2"/>
      <c r="T16" s="2"/>
      <c r="U16" s="2"/>
      <c r="V16" s="2"/>
      <c r="W16" s="2"/>
      <c r="X16" s="2"/>
      <c r="Y16" s="2"/>
      <c r="Z16" s="2"/>
    </row>
    <row r="17" customFormat="false" ht="42" hidden="false" customHeight="true" outlineLevel="0" collapsed="false">
      <c r="A17" s="12" t="s">
        <v>219</v>
      </c>
      <c r="B17" s="12" t="s">
        <v>45</v>
      </c>
      <c r="C17" s="13" t="n">
        <v>1</v>
      </c>
      <c r="D17" s="12" t="s">
        <v>220</v>
      </c>
      <c r="E17" s="12" t="s">
        <v>221</v>
      </c>
      <c r="F17" s="12" t="s">
        <v>222</v>
      </c>
      <c r="G17" s="12" t="s">
        <v>223</v>
      </c>
      <c r="H17" s="12" t="s">
        <v>224</v>
      </c>
      <c r="I17" s="12" t="s">
        <v>225</v>
      </c>
      <c r="J17" s="12" t="s">
        <v>226</v>
      </c>
      <c r="K17" s="12" t="s">
        <v>227</v>
      </c>
      <c r="L17" s="12" t="s">
        <v>228</v>
      </c>
      <c r="M17" s="12" t="s">
        <v>229</v>
      </c>
      <c r="N17" s="12" t="str">
        <f aca="false">IF(COUNTA(D17:M17)=10,"Completa","Revisar")</f>
        <v>Completa</v>
      </c>
      <c r="O17" s="2"/>
      <c r="P17" s="2"/>
      <c r="Q17" s="2"/>
      <c r="R17" s="2"/>
      <c r="S17" s="2"/>
      <c r="T17" s="2"/>
      <c r="U17" s="2"/>
      <c r="V17" s="2"/>
      <c r="W17" s="2"/>
      <c r="X17" s="2"/>
      <c r="Y17" s="2"/>
      <c r="Z17" s="2"/>
    </row>
    <row r="18" customFormat="false" ht="42" hidden="false" customHeight="true" outlineLevel="0" collapsed="false">
      <c r="A18" s="12" t="s">
        <v>230</v>
      </c>
      <c r="B18" s="12" t="s">
        <v>45</v>
      </c>
      <c r="C18" s="13" t="n">
        <v>2</v>
      </c>
      <c r="D18" s="12" t="s">
        <v>231</v>
      </c>
      <c r="E18" s="12" t="s">
        <v>232</v>
      </c>
      <c r="F18" s="12" t="s">
        <v>233</v>
      </c>
      <c r="G18" s="12" t="s">
        <v>234</v>
      </c>
      <c r="H18" s="12" t="s">
        <v>235</v>
      </c>
      <c r="I18" s="12" t="s">
        <v>236</v>
      </c>
      <c r="J18" s="12" t="s">
        <v>237</v>
      </c>
      <c r="K18" s="12" t="s">
        <v>238</v>
      </c>
      <c r="L18" s="12" t="s">
        <v>239</v>
      </c>
      <c r="M18" s="12" t="s">
        <v>240</v>
      </c>
      <c r="N18" s="12" t="str">
        <f aca="false">IF(COUNTA(D18:M18)=10,"Completa","Revisar")</f>
        <v>Completa</v>
      </c>
      <c r="O18" s="2"/>
      <c r="P18" s="2"/>
      <c r="Q18" s="2"/>
      <c r="R18" s="2"/>
      <c r="S18" s="2"/>
      <c r="T18" s="2"/>
      <c r="U18" s="2"/>
      <c r="V18" s="2"/>
      <c r="W18" s="2"/>
      <c r="X18" s="2"/>
      <c r="Y18" s="2"/>
      <c r="Z18" s="2"/>
    </row>
    <row r="19" customFormat="false" ht="42" hidden="false" customHeight="true" outlineLevel="0" collapsed="false">
      <c r="A19" s="12" t="s">
        <v>241</v>
      </c>
      <c r="B19" s="12" t="s">
        <v>45</v>
      </c>
      <c r="C19" s="13" t="n">
        <v>3</v>
      </c>
      <c r="D19" s="12" t="s">
        <v>242</v>
      </c>
      <c r="E19" s="12" t="s">
        <v>243</v>
      </c>
      <c r="F19" s="12" t="s">
        <v>244</v>
      </c>
      <c r="G19" s="12" t="s">
        <v>245</v>
      </c>
      <c r="H19" s="12" t="s">
        <v>246</v>
      </c>
      <c r="I19" s="12" t="s">
        <v>247</v>
      </c>
      <c r="J19" s="12" t="s">
        <v>248</v>
      </c>
      <c r="K19" s="12" t="s">
        <v>249</v>
      </c>
      <c r="L19" s="12" t="s">
        <v>250</v>
      </c>
      <c r="M19" s="12" t="s">
        <v>251</v>
      </c>
      <c r="N19" s="12" t="str">
        <f aca="false">IF(COUNTA(D19:M19)=10,"Completa","Revisar")</f>
        <v>Completa</v>
      </c>
      <c r="O19" s="2"/>
      <c r="P19" s="2"/>
      <c r="Q19" s="2"/>
      <c r="R19" s="2"/>
      <c r="S19" s="2"/>
      <c r="T19" s="2"/>
      <c r="U19" s="2"/>
      <c r="V19" s="2"/>
      <c r="W19" s="2"/>
      <c r="X19" s="2"/>
      <c r="Y19" s="2"/>
      <c r="Z19" s="2"/>
    </row>
    <row r="20" customFormat="false" ht="42" hidden="false" customHeight="true" outlineLevel="0" collapsed="false">
      <c r="A20" s="12" t="s">
        <v>252</v>
      </c>
      <c r="B20" s="12" t="s">
        <v>47</v>
      </c>
      <c r="C20" s="13" t="n">
        <v>1</v>
      </c>
      <c r="D20" s="12" t="s">
        <v>253</v>
      </c>
      <c r="E20" s="12" t="s">
        <v>254</v>
      </c>
      <c r="F20" s="12" t="s">
        <v>255</v>
      </c>
      <c r="G20" s="12" t="s">
        <v>256</v>
      </c>
      <c r="H20" s="12" t="s">
        <v>257</v>
      </c>
      <c r="I20" s="12" t="s">
        <v>258</v>
      </c>
      <c r="J20" s="12" t="s">
        <v>259</v>
      </c>
      <c r="K20" s="12" t="s">
        <v>260</v>
      </c>
      <c r="L20" s="12" t="s">
        <v>261</v>
      </c>
      <c r="M20" s="12" t="s">
        <v>262</v>
      </c>
      <c r="N20" s="12" t="str">
        <f aca="false">IF(COUNTA(D20:M20)=10,"Completa","Revisar")</f>
        <v>Completa</v>
      </c>
      <c r="O20" s="2"/>
      <c r="P20" s="2"/>
      <c r="Q20" s="2"/>
      <c r="R20" s="2"/>
      <c r="S20" s="2"/>
      <c r="T20" s="2"/>
      <c r="U20" s="2"/>
      <c r="V20" s="2"/>
      <c r="W20" s="2"/>
      <c r="X20" s="2"/>
      <c r="Y20" s="2"/>
      <c r="Z20" s="2"/>
    </row>
    <row r="21" customFormat="false" ht="42" hidden="false" customHeight="true" outlineLevel="0" collapsed="false">
      <c r="A21" s="12" t="s">
        <v>263</v>
      </c>
      <c r="B21" s="12" t="s">
        <v>47</v>
      </c>
      <c r="C21" s="13" t="n">
        <v>2</v>
      </c>
      <c r="D21" s="12" t="s">
        <v>264</v>
      </c>
      <c r="E21" s="12" t="s">
        <v>265</v>
      </c>
      <c r="F21" s="12" t="s">
        <v>266</v>
      </c>
      <c r="G21" s="12" t="s">
        <v>267</v>
      </c>
      <c r="H21" s="12" t="s">
        <v>268</v>
      </c>
      <c r="I21" s="12" t="s">
        <v>269</v>
      </c>
      <c r="J21" s="12" t="s">
        <v>270</v>
      </c>
      <c r="K21" s="12" t="s">
        <v>271</v>
      </c>
      <c r="L21" s="12" t="s">
        <v>272</v>
      </c>
      <c r="M21" s="12" t="s">
        <v>273</v>
      </c>
      <c r="N21" s="12" t="str">
        <f aca="false">IF(COUNTA(D21:M21)=10,"Completa","Revisar")</f>
        <v>Completa</v>
      </c>
      <c r="O21" s="2"/>
      <c r="P21" s="2"/>
      <c r="Q21" s="2"/>
      <c r="R21" s="2"/>
      <c r="S21" s="2"/>
      <c r="T21" s="2"/>
      <c r="U21" s="2"/>
      <c r="V21" s="2"/>
      <c r="W21" s="2"/>
      <c r="X21" s="2"/>
      <c r="Y21" s="2"/>
      <c r="Z21" s="2"/>
    </row>
    <row r="22" customFormat="false" ht="42" hidden="false" customHeight="true" outlineLevel="0" collapsed="false">
      <c r="A22" s="12" t="s">
        <v>274</v>
      </c>
      <c r="B22" s="12" t="s">
        <v>47</v>
      </c>
      <c r="C22" s="13" t="n">
        <v>3</v>
      </c>
      <c r="D22" s="12" t="s">
        <v>275</v>
      </c>
      <c r="E22" s="12" t="s">
        <v>276</v>
      </c>
      <c r="F22" s="12" t="s">
        <v>277</v>
      </c>
      <c r="G22" s="12" t="s">
        <v>278</v>
      </c>
      <c r="H22" s="12" t="s">
        <v>279</v>
      </c>
      <c r="I22" s="12" t="s">
        <v>280</v>
      </c>
      <c r="J22" s="12" t="s">
        <v>281</v>
      </c>
      <c r="K22" s="12" t="s">
        <v>282</v>
      </c>
      <c r="L22" s="12" t="s">
        <v>283</v>
      </c>
      <c r="M22" s="12" t="s">
        <v>284</v>
      </c>
      <c r="N22" s="12" t="str">
        <f aca="false">IF(COUNTA(D22:M22)=10,"Completa","Revisar")</f>
        <v>Completa</v>
      </c>
      <c r="O22" s="2"/>
      <c r="P22" s="2"/>
      <c r="Q22" s="2"/>
      <c r="R22" s="2"/>
      <c r="S22" s="2"/>
      <c r="T22" s="2"/>
      <c r="U22" s="2"/>
      <c r="V22" s="2"/>
      <c r="W22" s="2"/>
      <c r="X22" s="2"/>
      <c r="Y22" s="2"/>
      <c r="Z22" s="2"/>
    </row>
    <row r="23" customFormat="false" ht="42" hidden="false" customHeight="true" outlineLevel="0" collapsed="false">
      <c r="A23" s="12" t="s">
        <v>285</v>
      </c>
      <c r="B23" s="12" t="s">
        <v>47</v>
      </c>
      <c r="C23" s="13" t="n">
        <v>4</v>
      </c>
      <c r="D23" s="12" t="s">
        <v>286</v>
      </c>
      <c r="E23" s="12" t="s">
        <v>287</v>
      </c>
      <c r="F23" s="12" t="s">
        <v>288</v>
      </c>
      <c r="G23" s="12" t="s">
        <v>289</v>
      </c>
      <c r="H23" s="12" t="s">
        <v>290</v>
      </c>
      <c r="I23" s="12" t="s">
        <v>291</v>
      </c>
      <c r="J23" s="12" t="s">
        <v>292</v>
      </c>
      <c r="K23" s="12" t="s">
        <v>293</v>
      </c>
      <c r="L23" s="12" t="s">
        <v>294</v>
      </c>
      <c r="M23" s="12" t="s">
        <v>295</v>
      </c>
      <c r="N23" s="12" t="str">
        <f aca="false">IF(COUNTA(D23:M23)=10,"Completa","Revisar")</f>
        <v>Completa</v>
      </c>
      <c r="O23" s="2"/>
      <c r="P23" s="2"/>
      <c r="Q23" s="2"/>
      <c r="R23" s="2"/>
      <c r="S23" s="2"/>
      <c r="T23" s="2"/>
      <c r="U23" s="2"/>
      <c r="V23" s="2"/>
      <c r="W23" s="2"/>
      <c r="X23" s="2"/>
      <c r="Y23" s="2"/>
      <c r="Z23" s="2"/>
    </row>
    <row r="24" customFormat="false" ht="42" hidden="false" customHeight="true" outlineLevel="0" collapsed="false">
      <c r="A24" s="12" t="s">
        <v>296</v>
      </c>
      <c r="B24" s="12" t="s">
        <v>49</v>
      </c>
      <c r="C24" s="13" t="n">
        <v>1</v>
      </c>
      <c r="D24" s="12" t="s">
        <v>297</v>
      </c>
      <c r="E24" s="12" t="s">
        <v>298</v>
      </c>
      <c r="F24" s="12" t="s">
        <v>299</v>
      </c>
      <c r="G24" s="12" t="s">
        <v>300</v>
      </c>
      <c r="H24" s="12" t="s">
        <v>299</v>
      </c>
      <c r="I24" s="12" t="s">
        <v>301</v>
      </c>
      <c r="J24" s="12" t="s">
        <v>302</v>
      </c>
      <c r="K24" s="12" t="s">
        <v>303</v>
      </c>
      <c r="L24" s="12" t="s">
        <v>304</v>
      </c>
      <c r="M24" s="12" t="s">
        <v>305</v>
      </c>
      <c r="N24" s="12" t="str">
        <f aca="false">IF(COUNTA(D24:M24)=10,"Completa","Revisar")</f>
        <v>Completa</v>
      </c>
      <c r="O24" s="2"/>
      <c r="P24" s="2"/>
      <c r="Q24" s="2"/>
      <c r="R24" s="2"/>
      <c r="S24" s="2"/>
      <c r="T24" s="2"/>
      <c r="U24" s="2"/>
      <c r="V24" s="2"/>
      <c r="W24" s="2"/>
      <c r="X24" s="2"/>
      <c r="Y24" s="2"/>
      <c r="Z24" s="2"/>
    </row>
    <row r="25" customFormat="false" ht="42" hidden="false" customHeight="true" outlineLevel="0" collapsed="false">
      <c r="A25" s="12" t="s">
        <v>306</v>
      </c>
      <c r="B25" s="12" t="s">
        <v>49</v>
      </c>
      <c r="C25" s="13" t="n">
        <v>2</v>
      </c>
      <c r="D25" s="12" t="s">
        <v>307</v>
      </c>
      <c r="E25" s="12" t="s">
        <v>308</v>
      </c>
      <c r="F25" s="12" t="s">
        <v>309</v>
      </c>
      <c r="G25" s="12" t="s">
        <v>310</v>
      </c>
      <c r="H25" s="12" t="s">
        <v>309</v>
      </c>
      <c r="I25" s="12" t="s">
        <v>311</v>
      </c>
      <c r="J25" s="12" t="s">
        <v>312</v>
      </c>
      <c r="K25" s="12" t="s">
        <v>313</v>
      </c>
      <c r="L25" s="12" t="s">
        <v>314</v>
      </c>
      <c r="M25" s="12" t="s">
        <v>315</v>
      </c>
      <c r="N25" s="12" t="str">
        <f aca="false">IF(COUNTA(D25:M25)=10,"Completa","Revisar")</f>
        <v>Completa</v>
      </c>
      <c r="O25" s="2"/>
      <c r="P25" s="2"/>
      <c r="Q25" s="2"/>
      <c r="R25" s="2"/>
      <c r="S25" s="2"/>
      <c r="T25" s="2"/>
      <c r="U25" s="2"/>
      <c r="V25" s="2"/>
      <c r="W25" s="2"/>
      <c r="X25" s="2"/>
      <c r="Y25" s="2"/>
      <c r="Z25" s="2"/>
    </row>
    <row r="26" customFormat="false" ht="42" hidden="false" customHeight="true" outlineLevel="0" collapsed="false">
      <c r="A26" s="12" t="s">
        <v>316</v>
      </c>
      <c r="B26" s="12" t="s">
        <v>50</v>
      </c>
      <c r="C26" s="13" t="n">
        <v>1</v>
      </c>
      <c r="D26" s="12" t="s">
        <v>317</v>
      </c>
      <c r="E26" s="12" t="s">
        <v>317</v>
      </c>
      <c r="F26" s="12" t="s">
        <v>318</v>
      </c>
      <c r="G26" s="12" t="s">
        <v>318</v>
      </c>
      <c r="H26" s="12" t="s">
        <v>319</v>
      </c>
      <c r="I26" s="12" t="s">
        <v>320</v>
      </c>
      <c r="J26" s="12" t="s">
        <v>321</v>
      </c>
      <c r="K26" s="12" t="s">
        <v>322</v>
      </c>
      <c r="L26" s="12" t="s">
        <v>323</v>
      </c>
      <c r="M26" s="12" t="s">
        <v>324</v>
      </c>
      <c r="N26" s="12" t="str">
        <f aca="false">IF(COUNTA(D26:M26)=10,"Completa","Revisar")</f>
        <v>Completa</v>
      </c>
      <c r="O26" s="2"/>
      <c r="P26" s="2"/>
      <c r="Q26" s="2"/>
      <c r="R26" s="2"/>
      <c r="S26" s="2"/>
      <c r="T26" s="2"/>
      <c r="U26" s="2"/>
      <c r="V26" s="2"/>
      <c r="W26" s="2"/>
      <c r="X26" s="2"/>
      <c r="Y26" s="2"/>
      <c r="Z26" s="2"/>
    </row>
    <row r="27" customFormat="false" ht="42" hidden="false" customHeight="true" outlineLevel="0" collapsed="false">
      <c r="A27" s="12" t="s">
        <v>325</v>
      </c>
      <c r="B27" s="12" t="s">
        <v>50</v>
      </c>
      <c r="C27" s="13" t="n">
        <v>2</v>
      </c>
      <c r="D27" s="12" t="s">
        <v>326</v>
      </c>
      <c r="E27" s="12" t="s">
        <v>326</v>
      </c>
      <c r="F27" s="12" t="s">
        <v>327</v>
      </c>
      <c r="G27" s="12" t="s">
        <v>326</v>
      </c>
      <c r="H27" s="12" t="s">
        <v>328</v>
      </c>
      <c r="I27" s="12" t="s">
        <v>329</v>
      </c>
      <c r="J27" s="12" t="s">
        <v>330</v>
      </c>
      <c r="K27" s="12" t="s">
        <v>331</v>
      </c>
      <c r="L27" s="12" t="s">
        <v>332</v>
      </c>
      <c r="M27" s="12" t="s">
        <v>333</v>
      </c>
      <c r="N27" s="12" t="str">
        <f aca="false">IF(COUNTA(D27:M27)=10,"Completa","Revisar")</f>
        <v>Completa</v>
      </c>
      <c r="O27" s="2"/>
      <c r="P27" s="2"/>
      <c r="Q27" s="2"/>
      <c r="R27" s="2"/>
      <c r="S27" s="2"/>
      <c r="T27" s="2"/>
      <c r="U27" s="2"/>
      <c r="V27" s="2"/>
      <c r="W27" s="2"/>
      <c r="X27" s="2"/>
      <c r="Y27" s="2"/>
      <c r="Z27" s="2"/>
    </row>
    <row r="28" customFormat="false" ht="42" hidden="false" customHeight="true" outlineLevel="0" collapsed="false">
      <c r="A28" s="12" t="s">
        <v>334</v>
      </c>
      <c r="B28" s="12" t="s">
        <v>50</v>
      </c>
      <c r="C28" s="13" t="n">
        <v>3</v>
      </c>
      <c r="D28" s="12" t="s">
        <v>335</v>
      </c>
      <c r="E28" s="12" t="s">
        <v>336</v>
      </c>
      <c r="F28" s="12" t="s">
        <v>337</v>
      </c>
      <c r="G28" s="12" t="s">
        <v>338</v>
      </c>
      <c r="H28" s="12" t="s">
        <v>339</v>
      </c>
      <c r="I28" s="12" t="s">
        <v>340</v>
      </c>
      <c r="J28" s="12" t="s">
        <v>341</v>
      </c>
      <c r="K28" s="12" t="s">
        <v>342</v>
      </c>
      <c r="L28" s="12" t="s">
        <v>343</v>
      </c>
      <c r="M28" s="12" t="s">
        <v>344</v>
      </c>
      <c r="N28" s="12" t="str">
        <f aca="false">IF(COUNTA(D28:M28)=10,"Completa","Revisar")</f>
        <v>Completa</v>
      </c>
      <c r="O28" s="2"/>
      <c r="P28" s="2"/>
      <c r="Q28" s="2"/>
      <c r="R28" s="2"/>
      <c r="S28" s="2"/>
      <c r="T28" s="2"/>
      <c r="U28" s="2"/>
      <c r="V28" s="2"/>
      <c r="W28" s="2"/>
      <c r="X28" s="2"/>
      <c r="Y28" s="2"/>
      <c r="Z28" s="2"/>
    </row>
    <row r="29" customFormat="false" ht="42" hidden="false" customHeight="true" outlineLevel="0" collapsed="false">
      <c r="A29" s="12" t="s">
        <v>345</v>
      </c>
      <c r="B29" s="12" t="s">
        <v>50</v>
      </c>
      <c r="C29" s="13" t="n">
        <v>4</v>
      </c>
      <c r="D29" s="12" t="s">
        <v>346</v>
      </c>
      <c r="E29" s="12" t="s">
        <v>347</v>
      </c>
      <c r="F29" s="12" t="s">
        <v>348</v>
      </c>
      <c r="G29" s="12" t="s">
        <v>346</v>
      </c>
      <c r="H29" s="12" t="s">
        <v>349</v>
      </c>
      <c r="I29" s="12" t="s">
        <v>350</v>
      </c>
      <c r="J29" s="12" t="s">
        <v>351</v>
      </c>
      <c r="K29" s="12" t="s">
        <v>352</v>
      </c>
      <c r="L29" s="12" t="s">
        <v>353</v>
      </c>
      <c r="M29" s="12" t="s">
        <v>354</v>
      </c>
      <c r="N29" s="12" t="str">
        <f aca="false">IF(COUNTA(D29:M29)=10,"Completa","Revisar")</f>
        <v>Completa</v>
      </c>
      <c r="O29" s="2"/>
      <c r="P29" s="2"/>
      <c r="Q29" s="2"/>
      <c r="R29" s="2"/>
      <c r="S29" s="2"/>
      <c r="T29" s="2"/>
      <c r="U29" s="2"/>
      <c r="V29" s="2"/>
      <c r="W29" s="2"/>
      <c r="X29" s="2"/>
      <c r="Y29" s="2"/>
      <c r="Z29" s="2"/>
    </row>
    <row r="30" customFormat="false" ht="42" hidden="false" customHeight="true" outlineLevel="0" collapsed="false">
      <c r="A30" s="12" t="s">
        <v>355</v>
      </c>
      <c r="B30" s="12" t="s">
        <v>50</v>
      </c>
      <c r="C30" s="13" t="n">
        <v>5</v>
      </c>
      <c r="D30" s="12" t="s">
        <v>356</v>
      </c>
      <c r="E30" s="12" t="s">
        <v>356</v>
      </c>
      <c r="F30" s="12" t="s">
        <v>356</v>
      </c>
      <c r="G30" s="12" t="s">
        <v>356</v>
      </c>
      <c r="H30" s="12" t="s">
        <v>356</v>
      </c>
      <c r="I30" s="12" t="s">
        <v>357</v>
      </c>
      <c r="J30" s="12" t="s">
        <v>358</v>
      </c>
      <c r="K30" s="12" t="s">
        <v>359</v>
      </c>
      <c r="L30" s="12" t="s">
        <v>360</v>
      </c>
      <c r="M30" s="12" t="s">
        <v>361</v>
      </c>
      <c r="N30" s="12" t="str">
        <f aca="false">IF(COUNTA(D30:M30)=10,"Completa","Revisar")</f>
        <v>Completa</v>
      </c>
      <c r="O30" s="2"/>
      <c r="P30" s="2"/>
      <c r="Q30" s="2"/>
      <c r="R30" s="2"/>
      <c r="S30" s="2"/>
      <c r="T30" s="2"/>
      <c r="U30" s="2"/>
      <c r="V30" s="2"/>
      <c r="W30" s="2"/>
      <c r="X30" s="2"/>
      <c r="Y30" s="2"/>
      <c r="Z30" s="2"/>
    </row>
    <row r="31" customFormat="false" ht="42" hidden="false" customHeight="true" outlineLevel="0" collapsed="false">
      <c r="A31" s="12" t="s">
        <v>362</v>
      </c>
      <c r="B31" s="12" t="s">
        <v>50</v>
      </c>
      <c r="C31" s="13" t="n">
        <v>6</v>
      </c>
      <c r="D31" s="12" t="s">
        <v>363</v>
      </c>
      <c r="E31" s="12" t="s">
        <v>363</v>
      </c>
      <c r="F31" s="12" t="s">
        <v>363</v>
      </c>
      <c r="G31" s="12" t="s">
        <v>363</v>
      </c>
      <c r="H31" s="12" t="s">
        <v>363</v>
      </c>
      <c r="I31" s="12" t="s">
        <v>364</v>
      </c>
      <c r="J31" s="12" t="s">
        <v>365</v>
      </c>
      <c r="K31" s="12" t="s">
        <v>366</v>
      </c>
      <c r="L31" s="12" t="s">
        <v>367</v>
      </c>
      <c r="M31" s="12" t="s">
        <v>368</v>
      </c>
      <c r="N31" s="12" t="str">
        <f aca="false">IF(COUNTA(D31:M31)=10,"Completa","Revisar")</f>
        <v>Completa</v>
      </c>
      <c r="O31" s="2"/>
      <c r="P31" s="2"/>
      <c r="Q31" s="2"/>
      <c r="R31" s="2"/>
      <c r="S31" s="2"/>
      <c r="T31" s="2"/>
      <c r="U31" s="2"/>
      <c r="V31" s="2"/>
      <c r="W31" s="2"/>
      <c r="X31" s="2"/>
      <c r="Y31" s="2"/>
      <c r="Z31" s="2"/>
    </row>
    <row r="32" customFormat="false" ht="42" hidden="false" customHeight="true" outlineLevel="0" collapsed="false">
      <c r="A32" s="12" t="s">
        <v>369</v>
      </c>
      <c r="B32" s="12" t="s">
        <v>50</v>
      </c>
      <c r="C32" s="13" t="n">
        <v>7</v>
      </c>
      <c r="D32" s="12" t="s">
        <v>370</v>
      </c>
      <c r="E32" s="12" t="s">
        <v>371</v>
      </c>
      <c r="F32" s="12" t="s">
        <v>371</v>
      </c>
      <c r="G32" s="12" t="s">
        <v>372</v>
      </c>
      <c r="H32" s="12" t="s">
        <v>372</v>
      </c>
      <c r="I32" s="12" t="s">
        <v>373</v>
      </c>
      <c r="J32" s="12" t="s">
        <v>374</v>
      </c>
      <c r="K32" s="12" t="s">
        <v>375</v>
      </c>
      <c r="L32" s="12" t="s">
        <v>376</v>
      </c>
      <c r="M32" s="12" t="s">
        <v>377</v>
      </c>
      <c r="N32" s="12" t="str">
        <f aca="false">IF(COUNTA(D32:M32)=10,"Completa","Revisar")</f>
        <v>Completa</v>
      </c>
      <c r="O32" s="2"/>
      <c r="P32" s="2"/>
      <c r="Q32" s="2"/>
      <c r="R32" s="2"/>
      <c r="S32" s="2"/>
      <c r="T32" s="2"/>
      <c r="U32" s="2"/>
      <c r="V32" s="2"/>
      <c r="W32" s="2"/>
      <c r="X32" s="2"/>
      <c r="Y32" s="2"/>
      <c r="Z32" s="2"/>
    </row>
    <row r="33" customFormat="false" ht="42" hidden="false" customHeight="true" outlineLevel="0" collapsed="false">
      <c r="A33" s="12" t="s">
        <v>378</v>
      </c>
      <c r="B33" s="12" t="s">
        <v>51</v>
      </c>
      <c r="C33" s="13" t="n">
        <v>1</v>
      </c>
      <c r="D33" s="12" t="s">
        <v>379</v>
      </c>
      <c r="E33" s="12" t="s">
        <v>380</v>
      </c>
      <c r="F33" s="12" t="s">
        <v>379</v>
      </c>
      <c r="G33" s="12" t="s">
        <v>381</v>
      </c>
      <c r="H33" s="12" t="s">
        <v>379</v>
      </c>
      <c r="I33" s="12" t="s">
        <v>382</v>
      </c>
      <c r="J33" s="12" t="s">
        <v>383</v>
      </c>
      <c r="K33" s="12" t="s">
        <v>384</v>
      </c>
      <c r="L33" s="12" t="s">
        <v>385</v>
      </c>
      <c r="M33" s="12" t="s">
        <v>386</v>
      </c>
      <c r="N33" s="12" t="str">
        <f aca="false">IF(COUNTA(D33:M33)=10,"Completa","Revisar")</f>
        <v>Completa</v>
      </c>
      <c r="O33" s="2"/>
      <c r="P33" s="2"/>
      <c r="Q33" s="2"/>
      <c r="R33" s="2"/>
      <c r="S33" s="2"/>
      <c r="T33" s="2"/>
      <c r="U33" s="2"/>
      <c r="V33" s="2"/>
      <c r="W33" s="2"/>
      <c r="X33" s="2"/>
      <c r="Y33" s="2"/>
      <c r="Z33" s="2"/>
    </row>
    <row r="34" customFormat="false" ht="42" hidden="false" customHeight="true" outlineLevel="0" collapsed="false">
      <c r="A34" s="12" t="s">
        <v>387</v>
      </c>
      <c r="B34" s="12" t="s">
        <v>51</v>
      </c>
      <c r="C34" s="13" t="n">
        <v>2</v>
      </c>
      <c r="D34" s="12" t="s">
        <v>388</v>
      </c>
      <c r="E34" s="12" t="s">
        <v>389</v>
      </c>
      <c r="F34" s="12" t="s">
        <v>388</v>
      </c>
      <c r="G34" s="12" t="s">
        <v>390</v>
      </c>
      <c r="H34" s="12" t="s">
        <v>388</v>
      </c>
      <c r="I34" s="12" t="s">
        <v>391</v>
      </c>
      <c r="J34" s="12" t="s">
        <v>392</v>
      </c>
      <c r="K34" s="12" t="s">
        <v>393</v>
      </c>
      <c r="L34" s="12" t="s">
        <v>394</v>
      </c>
      <c r="M34" s="12" t="s">
        <v>395</v>
      </c>
      <c r="N34" s="12" t="str">
        <f aca="false">IF(COUNTA(D34:M34)=10,"Completa","Revisar")</f>
        <v>Completa</v>
      </c>
      <c r="O34" s="2"/>
      <c r="P34" s="2"/>
      <c r="Q34" s="2"/>
      <c r="R34" s="2"/>
      <c r="S34" s="2"/>
      <c r="T34" s="2"/>
      <c r="U34" s="2"/>
      <c r="V34" s="2"/>
      <c r="W34" s="2"/>
      <c r="X34" s="2"/>
      <c r="Y34" s="2"/>
      <c r="Z34" s="2"/>
    </row>
    <row r="35" customFormat="false" ht="42" hidden="false" customHeight="true" outlineLevel="0" collapsed="false">
      <c r="A35" s="12" t="s">
        <v>396</v>
      </c>
      <c r="B35" s="12" t="s">
        <v>51</v>
      </c>
      <c r="C35" s="13" t="n">
        <v>3</v>
      </c>
      <c r="D35" s="12" t="s">
        <v>397</v>
      </c>
      <c r="E35" s="12" t="s">
        <v>398</v>
      </c>
      <c r="F35" s="12" t="s">
        <v>399</v>
      </c>
      <c r="G35" s="12" t="s">
        <v>400</v>
      </c>
      <c r="H35" s="12" t="s">
        <v>401</v>
      </c>
      <c r="I35" s="12" t="s">
        <v>402</v>
      </c>
      <c r="J35" s="12" t="s">
        <v>403</v>
      </c>
      <c r="K35" s="12" t="s">
        <v>404</v>
      </c>
      <c r="L35" s="12" t="s">
        <v>405</v>
      </c>
      <c r="M35" s="12" t="s">
        <v>406</v>
      </c>
      <c r="N35" s="12" t="str">
        <f aca="false">IF(COUNTA(D35:M35)=10,"Completa","Revisar")</f>
        <v>Completa</v>
      </c>
      <c r="O35" s="2"/>
      <c r="P35" s="2"/>
      <c r="Q35" s="2"/>
      <c r="R35" s="2"/>
      <c r="S35" s="2"/>
      <c r="T35" s="2"/>
      <c r="U35" s="2"/>
      <c r="V35" s="2"/>
      <c r="W35" s="2"/>
      <c r="X35" s="2"/>
      <c r="Y35" s="2"/>
      <c r="Z35" s="2"/>
    </row>
    <row r="36" customFormat="false" ht="42" hidden="false" customHeight="true" outlineLevel="0" collapsed="false">
      <c r="A36" s="12" t="s">
        <v>407</v>
      </c>
      <c r="B36" s="12" t="s">
        <v>52</v>
      </c>
      <c r="C36" s="13" t="n">
        <v>1</v>
      </c>
      <c r="D36" s="12" t="s">
        <v>408</v>
      </c>
      <c r="E36" s="12" t="s">
        <v>409</v>
      </c>
      <c r="F36" s="12" t="s">
        <v>410</v>
      </c>
      <c r="G36" s="12" t="s">
        <v>411</v>
      </c>
      <c r="H36" s="12" t="s">
        <v>412</v>
      </c>
      <c r="I36" s="12" t="s">
        <v>413</v>
      </c>
      <c r="J36" s="12" t="s">
        <v>414</v>
      </c>
      <c r="K36" s="12" t="s">
        <v>415</v>
      </c>
      <c r="L36" s="12" t="s">
        <v>416</v>
      </c>
      <c r="M36" s="12" t="s">
        <v>417</v>
      </c>
      <c r="N36" s="12" t="str">
        <f aca="false">IF(COUNTA(D36:M36)=10,"Completa","Revisar")</f>
        <v>Completa</v>
      </c>
      <c r="O36" s="2"/>
      <c r="P36" s="2"/>
      <c r="Q36" s="2"/>
      <c r="R36" s="2"/>
      <c r="S36" s="2"/>
      <c r="T36" s="2"/>
      <c r="U36" s="2"/>
      <c r="V36" s="2"/>
      <c r="W36" s="2"/>
      <c r="X36" s="2"/>
      <c r="Y36" s="2"/>
      <c r="Z36" s="2"/>
    </row>
    <row r="37" customFormat="false" ht="42" hidden="false" customHeight="true" outlineLevel="0" collapsed="false">
      <c r="A37" s="12" t="s">
        <v>418</v>
      </c>
      <c r="B37" s="12" t="s">
        <v>52</v>
      </c>
      <c r="C37" s="13" t="n">
        <v>2</v>
      </c>
      <c r="D37" s="12" t="s">
        <v>419</v>
      </c>
      <c r="E37" s="12" t="s">
        <v>420</v>
      </c>
      <c r="F37" s="12" t="s">
        <v>421</v>
      </c>
      <c r="G37" s="12" t="s">
        <v>422</v>
      </c>
      <c r="H37" s="12" t="s">
        <v>423</v>
      </c>
      <c r="I37" s="12" t="s">
        <v>424</v>
      </c>
      <c r="J37" s="12" t="s">
        <v>425</v>
      </c>
      <c r="K37" s="12" t="s">
        <v>426</v>
      </c>
      <c r="L37" s="12" t="s">
        <v>427</v>
      </c>
      <c r="M37" s="12" t="s">
        <v>428</v>
      </c>
      <c r="N37" s="12" t="str">
        <f aca="false">IF(COUNTA(D37:M37)=10,"Completa","Revisar")</f>
        <v>Completa</v>
      </c>
      <c r="O37" s="2"/>
      <c r="P37" s="2"/>
      <c r="Q37" s="2"/>
      <c r="R37" s="2"/>
      <c r="S37" s="2"/>
      <c r="T37" s="2"/>
      <c r="U37" s="2"/>
      <c r="V37" s="2"/>
      <c r="W37" s="2"/>
      <c r="X37" s="2"/>
      <c r="Y37" s="2"/>
      <c r="Z37" s="2"/>
    </row>
    <row r="38" customFormat="false" ht="42" hidden="false" customHeight="true" outlineLevel="0" collapsed="false">
      <c r="A38" s="12" t="s">
        <v>429</v>
      </c>
      <c r="B38" s="12" t="s">
        <v>52</v>
      </c>
      <c r="C38" s="13" t="n">
        <v>3</v>
      </c>
      <c r="D38" s="12" t="s">
        <v>430</v>
      </c>
      <c r="E38" s="12" t="s">
        <v>431</v>
      </c>
      <c r="F38" s="12" t="s">
        <v>430</v>
      </c>
      <c r="G38" s="12" t="s">
        <v>432</v>
      </c>
      <c r="H38" s="12" t="s">
        <v>433</v>
      </c>
      <c r="I38" s="12" t="s">
        <v>434</v>
      </c>
      <c r="J38" s="12" t="s">
        <v>435</v>
      </c>
      <c r="K38" s="12" t="s">
        <v>436</v>
      </c>
      <c r="L38" s="12" t="s">
        <v>437</v>
      </c>
      <c r="M38" s="12" t="s">
        <v>438</v>
      </c>
      <c r="N38" s="12" t="str">
        <f aca="false">IF(COUNTA(D38:M38)=10,"Completa","Revisar")</f>
        <v>Completa</v>
      </c>
      <c r="O38" s="2"/>
      <c r="P38" s="2"/>
      <c r="Q38" s="2"/>
      <c r="R38" s="2"/>
      <c r="S38" s="2"/>
      <c r="T38" s="2"/>
      <c r="U38" s="2"/>
      <c r="V38" s="2"/>
      <c r="W38" s="2"/>
      <c r="X38" s="2"/>
      <c r="Y38" s="2"/>
      <c r="Z38" s="2"/>
    </row>
    <row r="39" customFormat="false" ht="42" hidden="false" customHeight="true" outlineLevel="0" collapsed="false">
      <c r="A39" s="12" t="s">
        <v>439</v>
      </c>
      <c r="B39" s="12" t="s">
        <v>52</v>
      </c>
      <c r="C39" s="13" t="n">
        <v>4</v>
      </c>
      <c r="D39" s="12" t="s">
        <v>440</v>
      </c>
      <c r="E39" s="12" t="s">
        <v>441</v>
      </c>
      <c r="F39" s="12" t="s">
        <v>442</v>
      </c>
      <c r="G39" s="12" t="s">
        <v>443</v>
      </c>
      <c r="H39" s="12" t="s">
        <v>444</v>
      </c>
      <c r="I39" s="12" t="s">
        <v>445</v>
      </c>
      <c r="J39" s="12" t="s">
        <v>446</v>
      </c>
      <c r="K39" s="12" t="s">
        <v>447</v>
      </c>
      <c r="L39" s="12" t="s">
        <v>448</v>
      </c>
      <c r="M39" s="12" t="s">
        <v>449</v>
      </c>
      <c r="N39" s="12" t="str">
        <f aca="false">IF(COUNTA(D39:M39)=10,"Completa","Revisar")</f>
        <v>Completa</v>
      </c>
      <c r="O39" s="2"/>
      <c r="P39" s="2"/>
      <c r="Q39" s="2"/>
      <c r="R39" s="2"/>
      <c r="S39" s="2"/>
      <c r="T39" s="2"/>
      <c r="U39" s="2"/>
      <c r="V39" s="2"/>
      <c r="W39" s="2"/>
      <c r="X39" s="2"/>
      <c r="Y39" s="2"/>
      <c r="Z39" s="2"/>
    </row>
    <row r="40" customFormat="false" ht="42" hidden="false" customHeight="true" outlineLevel="0" collapsed="false">
      <c r="A40" s="12" t="s">
        <v>450</v>
      </c>
      <c r="B40" s="12" t="s">
        <v>52</v>
      </c>
      <c r="C40" s="13" t="n">
        <v>5</v>
      </c>
      <c r="D40" s="12" t="s">
        <v>451</v>
      </c>
      <c r="E40" s="12" t="s">
        <v>452</v>
      </c>
      <c r="F40" s="12" t="s">
        <v>453</v>
      </c>
      <c r="G40" s="12" t="s">
        <v>454</v>
      </c>
      <c r="H40" s="12" t="s">
        <v>455</v>
      </c>
      <c r="I40" s="12" t="s">
        <v>456</v>
      </c>
      <c r="J40" s="12" t="s">
        <v>457</v>
      </c>
      <c r="K40" s="12" t="s">
        <v>458</v>
      </c>
      <c r="L40" s="12" t="s">
        <v>459</v>
      </c>
      <c r="M40" s="12" t="s">
        <v>460</v>
      </c>
      <c r="N40" s="12" t="str">
        <f aca="false">IF(COUNTA(D40:M40)=10,"Completa","Revisar")</f>
        <v>Completa</v>
      </c>
      <c r="O40" s="2"/>
      <c r="P40" s="2"/>
      <c r="Q40" s="2"/>
      <c r="R40" s="2"/>
      <c r="S40" s="2"/>
      <c r="T40" s="2"/>
      <c r="U40" s="2"/>
      <c r="V40" s="2"/>
      <c r="W40" s="2"/>
      <c r="X40" s="2"/>
      <c r="Y40" s="2"/>
      <c r="Z40" s="2"/>
    </row>
    <row r="41" customFormat="false" ht="42" hidden="false" customHeight="true" outlineLevel="0" collapsed="false">
      <c r="A41" s="12" t="s">
        <v>461</v>
      </c>
      <c r="B41" s="12" t="s">
        <v>52</v>
      </c>
      <c r="C41" s="13" t="n">
        <v>6</v>
      </c>
      <c r="D41" s="12" t="s">
        <v>462</v>
      </c>
      <c r="E41" s="12" t="s">
        <v>463</v>
      </c>
      <c r="F41" s="12" t="s">
        <v>464</v>
      </c>
      <c r="G41" s="12" t="s">
        <v>464</v>
      </c>
      <c r="H41" s="12" t="s">
        <v>465</v>
      </c>
      <c r="I41" s="12" t="s">
        <v>466</v>
      </c>
      <c r="J41" s="12" t="s">
        <v>467</v>
      </c>
      <c r="K41" s="12" t="s">
        <v>468</v>
      </c>
      <c r="L41" s="12" t="s">
        <v>469</v>
      </c>
      <c r="M41" s="12" t="s">
        <v>470</v>
      </c>
      <c r="N41" s="12" t="str">
        <f aca="false">IF(COUNTA(D41:M41)=10,"Completa","Revisar")</f>
        <v>Completa</v>
      </c>
      <c r="O41" s="2"/>
      <c r="P41" s="2"/>
      <c r="Q41" s="2"/>
      <c r="R41" s="2"/>
      <c r="S41" s="2"/>
      <c r="T41" s="2"/>
      <c r="U41" s="2"/>
      <c r="V41" s="2"/>
      <c r="W41" s="2"/>
      <c r="X41" s="2"/>
      <c r="Y41" s="2"/>
      <c r="Z41" s="2"/>
    </row>
    <row r="42" customFormat="false" ht="42" hidden="false" customHeight="true" outlineLevel="0" collapsed="false">
      <c r="A42" s="12" t="s">
        <v>471</v>
      </c>
      <c r="B42" s="12" t="s">
        <v>53</v>
      </c>
      <c r="C42" s="13" t="n">
        <v>1</v>
      </c>
      <c r="D42" s="12" t="s">
        <v>472</v>
      </c>
      <c r="E42" s="12" t="s">
        <v>473</v>
      </c>
      <c r="F42" s="12" t="s">
        <v>474</v>
      </c>
      <c r="G42" s="12" t="s">
        <v>475</v>
      </c>
      <c r="H42" s="12" t="s">
        <v>476</v>
      </c>
      <c r="I42" s="12" t="s">
        <v>477</v>
      </c>
      <c r="J42" s="12" t="s">
        <v>478</v>
      </c>
      <c r="K42" s="12" t="s">
        <v>479</v>
      </c>
      <c r="L42" s="12" t="s">
        <v>480</v>
      </c>
      <c r="M42" s="12" t="s">
        <v>481</v>
      </c>
      <c r="N42" s="12" t="str">
        <f aca="false">IF(COUNTA(D42:M42)=10,"Completa","Revisar")</f>
        <v>Completa</v>
      </c>
      <c r="O42" s="2"/>
      <c r="P42" s="2"/>
      <c r="Q42" s="2"/>
      <c r="R42" s="2"/>
      <c r="S42" s="2"/>
      <c r="T42" s="2"/>
      <c r="U42" s="2"/>
      <c r="V42" s="2"/>
      <c r="W42" s="2"/>
      <c r="X42" s="2"/>
      <c r="Y42" s="2"/>
      <c r="Z42" s="2"/>
    </row>
    <row r="43" customFormat="false" ht="42" hidden="false" customHeight="true" outlineLevel="0" collapsed="false">
      <c r="A43" s="12" t="s">
        <v>482</v>
      </c>
      <c r="B43" s="12" t="s">
        <v>53</v>
      </c>
      <c r="C43" s="13" t="n">
        <v>2</v>
      </c>
      <c r="D43" s="12" t="s">
        <v>483</v>
      </c>
      <c r="E43" s="12" t="s">
        <v>484</v>
      </c>
      <c r="F43" s="12" t="s">
        <v>485</v>
      </c>
      <c r="G43" s="12" t="s">
        <v>486</v>
      </c>
      <c r="H43" s="12" t="s">
        <v>487</v>
      </c>
      <c r="I43" s="12" t="s">
        <v>488</v>
      </c>
      <c r="J43" s="12" t="s">
        <v>489</v>
      </c>
      <c r="K43" s="12" t="s">
        <v>490</v>
      </c>
      <c r="L43" s="12" t="s">
        <v>491</v>
      </c>
      <c r="M43" s="12" t="s">
        <v>492</v>
      </c>
      <c r="N43" s="12" t="str">
        <f aca="false">IF(COUNTA(D43:M43)=10,"Completa","Revisar")</f>
        <v>Completa</v>
      </c>
      <c r="O43" s="2"/>
      <c r="P43" s="2"/>
      <c r="Q43" s="2"/>
      <c r="R43" s="2"/>
      <c r="S43" s="2"/>
      <c r="T43" s="2"/>
      <c r="U43" s="2"/>
      <c r="V43" s="2"/>
      <c r="W43" s="2"/>
      <c r="X43" s="2"/>
      <c r="Y43" s="2"/>
      <c r="Z43" s="2"/>
    </row>
    <row r="44" customFormat="false" ht="42" hidden="false" customHeight="true" outlineLevel="0" collapsed="false">
      <c r="A44" s="12" t="s">
        <v>493</v>
      </c>
      <c r="B44" s="12" t="s">
        <v>54</v>
      </c>
      <c r="C44" s="13" t="n">
        <v>1</v>
      </c>
      <c r="D44" s="12" t="s">
        <v>494</v>
      </c>
      <c r="E44" s="12" t="s">
        <v>495</v>
      </c>
      <c r="F44" s="12" t="s">
        <v>496</v>
      </c>
      <c r="G44" s="12" t="s">
        <v>497</v>
      </c>
      <c r="H44" s="12" t="s">
        <v>498</v>
      </c>
      <c r="I44" s="12" t="s">
        <v>499</v>
      </c>
      <c r="J44" s="12" t="s">
        <v>500</v>
      </c>
      <c r="K44" s="12" t="s">
        <v>501</v>
      </c>
      <c r="L44" s="12" t="s">
        <v>502</v>
      </c>
      <c r="M44" s="12" t="s">
        <v>503</v>
      </c>
      <c r="N44" s="12" t="str">
        <f aca="false">IF(COUNTA(D44:M44)=10,"Completa","Revisar")</f>
        <v>Completa</v>
      </c>
      <c r="O44" s="2"/>
      <c r="P44" s="2"/>
      <c r="Q44" s="2"/>
      <c r="R44" s="2"/>
      <c r="S44" s="2"/>
      <c r="T44" s="2"/>
      <c r="U44" s="2"/>
      <c r="V44" s="2"/>
      <c r="W44" s="2"/>
      <c r="X44" s="2"/>
      <c r="Y44" s="2"/>
      <c r="Z44" s="2"/>
    </row>
    <row r="45" customFormat="false" ht="42" hidden="false" customHeight="true" outlineLevel="0" collapsed="false">
      <c r="A45" s="12" t="s">
        <v>504</v>
      </c>
      <c r="B45" s="12" t="s">
        <v>54</v>
      </c>
      <c r="C45" s="13" t="n">
        <v>2</v>
      </c>
      <c r="D45" s="12" t="s">
        <v>505</v>
      </c>
      <c r="E45" s="12" t="s">
        <v>506</v>
      </c>
      <c r="F45" s="12" t="s">
        <v>507</v>
      </c>
      <c r="G45" s="12" t="s">
        <v>508</v>
      </c>
      <c r="H45" s="12" t="s">
        <v>509</v>
      </c>
      <c r="I45" s="12" t="s">
        <v>510</v>
      </c>
      <c r="J45" s="12" t="s">
        <v>511</v>
      </c>
      <c r="K45" s="12" t="s">
        <v>512</v>
      </c>
      <c r="L45" s="12" t="s">
        <v>513</v>
      </c>
      <c r="M45" s="12" t="s">
        <v>514</v>
      </c>
      <c r="N45" s="12" t="str">
        <f aca="false">IF(COUNTA(D45:M45)=10,"Completa","Revisar")</f>
        <v>Completa</v>
      </c>
      <c r="O45" s="2"/>
      <c r="P45" s="2"/>
      <c r="Q45" s="2"/>
      <c r="R45" s="2"/>
      <c r="S45" s="2"/>
      <c r="T45" s="2"/>
      <c r="U45" s="2"/>
      <c r="V45" s="2"/>
      <c r="W45" s="2"/>
      <c r="X45" s="2"/>
      <c r="Y45" s="2"/>
      <c r="Z45" s="2"/>
    </row>
    <row r="46" customFormat="false" ht="42" hidden="false" customHeight="true" outlineLevel="0" collapsed="false">
      <c r="A46" s="12" t="s">
        <v>515</v>
      </c>
      <c r="B46" s="12" t="s">
        <v>54</v>
      </c>
      <c r="C46" s="13" t="n">
        <v>3</v>
      </c>
      <c r="D46" s="12" t="s">
        <v>516</v>
      </c>
      <c r="E46" s="12" t="s">
        <v>517</v>
      </c>
      <c r="F46" s="12" t="s">
        <v>518</v>
      </c>
      <c r="G46" s="12" t="s">
        <v>519</v>
      </c>
      <c r="H46" s="12" t="s">
        <v>520</v>
      </c>
      <c r="I46" s="12" t="s">
        <v>521</v>
      </c>
      <c r="J46" s="12" t="s">
        <v>522</v>
      </c>
      <c r="K46" s="12" t="s">
        <v>523</v>
      </c>
      <c r="L46" s="12" t="s">
        <v>524</v>
      </c>
      <c r="M46" s="12" t="s">
        <v>525</v>
      </c>
      <c r="N46" s="12" t="str">
        <f aca="false">IF(COUNTA(D46:M46)=10,"Completa","Revisar")</f>
        <v>Completa</v>
      </c>
      <c r="O46" s="2"/>
      <c r="P46" s="2"/>
      <c r="Q46" s="2"/>
      <c r="R46" s="2"/>
      <c r="S46" s="2"/>
      <c r="T46" s="2"/>
      <c r="U46" s="2"/>
      <c r="V46" s="2"/>
      <c r="W46" s="2"/>
      <c r="X46" s="2"/>
      <c r="Y46" s="2"/>
      <c r="Z46" s="2"/>
    </row>
    <row r="47" customFormat="false" ht="42" hidden="false" customHeight="true" outlineLevel="0" collapsed="false">
      <c r="A47" s="12" t="s">
        <v>526</v>
      </c>
      <c r="B47" s="12" t="s">
        <v>54</v>
      </c>
      <c r="C47" s="13" t="n">
        <v>4</v>
      </c>
      <c r="D47" s="12" t="s">
        <v>527</v>
      </c>
      <c r="E47" s="12" t="s">
        <v>528</v>
      </c>
      <c r="F47" s="12" t="s">
        <v>529</v>
      </c>
      <c r="G47" s="12" t="s">
        <v>530</v>
      </c>
      <c r="H47" s="12" t="s">
        <v>531</v>
      </c>
      <c r="I47" s="12" t="s">
        <v>532</v>
      </c>
      <c r="J47" s="12" t="s">
        <v>533</v>
      </c>
      <c r="K47" s="12" t="s">
        <v>534</v>
      </c>
      <c r="L47" s="12" t="s">
        <v>535</v>
      </c>
      <c r="M47" s="12" t="s">
        <v>536</v>
      </c>
      <c r="N47" s="12" t="str">
        <f aca="false">IF(COUNTA(D47:M47)=10,"Completa","Revisar")</f>
        <v>Completa</v>
      </c>
      <c r="O47" s="2"/>
      <c r="P47" s="2"/>
      <c r="Q47" s="2"/>
      <c r="R47" s="2"/>
      <c r="S47" s="2"/>
      <c r="T47" s="2"/>
      <c r="U47" s="2"/>
      <c r="V47" s="2"/>
      <c r="W47" s="2"/>
      <c r="X47" s="2"/>
      <c r="Y47" s="2"/>
      <c r="Z47" s="2"/>
    </row>
    <row r="48" customFormat="false" ht="42" hidden="false" customHeight="true" outlineLevel="0" collapsed="false">
      <c r="A48" s="12" t="s">
        <v>537</v>
      </c>
      <c r="B48" s="12" t="s">
        <v>55</v>
      </c>
      <c r="C48" s="13" t="n">
        <v>1</v>
      </c>
      <c r="D48" s="12" t="s">
        <v>538</v>
      </c>
      <c r="E48" s="12" t="s">
        <v>539</v>
      </c>
      <c r="F48" s="12" t="s">
        <v>540</v>
      </c>
      <c r="G48" s="12" t="s">
        <v>541</v>
      </c>
      <c r="H48" s="12" t="s">
        <v>542</v>
      </c>
      <c r="I48" s="12" t="s">
        <v>543</v>
      </c>
      <c r="J48" s="12" t="s">
        <v>544</v>
      </c>
      <c r="K48" s="12" t="s">
        <v>545</v>
      </c>
      <c r="L48" s="12" t="s">
        <v>546</v>
      </c>
      <c r="M48" s="12" t="s">
        <v>547</v>
      </c>
      <c r="N48" s="12" t="str">
        <f aca="false">IF(COUNTA(D48:M48)=10,"Completa","Revisar")</f>
        <v>Completa</v>
      </c>
      <c r="O48" s="2"/>
      <c r="P48" s="2"/>
      <c r="Q48" s="2"/>
      <c r="R48" s="2"/>
      <c r="S48" s="2"/>
      <c r="T48" s="2"/>
      <c r="U48" s="2"/>
      <c r="V48" s="2"/>
      <c r="W48" s="2"/>
      <c r="X48" s="2"/>
      <c r="Y48" s="2"/>
      <c r="Z48" s="2"/>
    </row>
    <row r="49" customFormat="false" ht="42" hidden="false" customHeight="true" outlineLevel="0" collapsed="false">
      <c r="A49" s="12" t="s">
        <v>548</v>
      </c>
      <c r="B49" s="12" t="s">
        <v>55</v>
      </c>
      <c r="C49" s="13" t="n">
        <v>2</v>
      </c>
      <c r="D49" s="12" t="s">
        <v>549</v>
      </c>
      <c r="E49" s="12" t="s">
        <v>550</v>
      </c>
      <c r="F49" s="12" t="s">
        <v>551</v>
      </c>
      <c r="G49" s="12" t="s">
        <v>552</v>
      </c>
      <c r="H49" s="12" t="s">
        <v>553</v>
      </c>
      <c r="I49" s="12" t="s">
        <v>554</v>
      </c>
      <c r="J49" s="12" t="s">
        <v>555</v>
      </c>
      <c r="K49" s="12" t="s">
        <v>556</v>
      </c>
      <c r="L49" s="12" t="s">
        <v>557</v>
      </c>
      <c r="M49" s="12" t="s">
        <v>558</v>
      </c>
      <c r="N49" s="12" t="str">
        <f aca="false">IF(COUNTA(D49:M49)=10,"Completa","Revisar")</f>
        <v>Completa</v>
      </c>
      <c r="O49" s="2"/>
      <c r="P49" s="2"/>
      <c r="Q49" s="2"/>
      <c r="R49" s="2"/>
      <c r="S49" s="2"/>
      <c r="T49" s="2"/>
      <c r="U49" s="2"/>
      <c r="V49" s="2"/>
      <c r="W49" s="2"/>
      <c r="X49" s="2"/>
      <c r="Y49" s="2"/>
      <c r="Z49" s="2"/>
    </row>
    <row r="50" customFormat="false" ht="42" hidden="false" customHeight="true" outlineLevel="0" collapsed="false">
      <c r="A50" s="12" t="s">
        <v>559</v>
      </c>
      <c r="B50" s="12" t="s">
        <v>55</v>
      </c>
      <c r="C50" s="13" t="n">
        <v>3</v>
      </c>
      <c r="D50" s="12" t="s">
        <v>560</v>
      </c>
      <c r="E50" s="12" t="s">
        <v>561</v>
      </c>
      <c r="F50" s="12" t="s">
        <v>562</v>
      </c>
      <c r="G50" s="12" t="s">
        <v>563</v>
      </c>
      <c r="H50" s="12" t="s">
        <v>564</v>
      </c>
      <c r="I50" s="12" t="s">
        <v>565</v>
      </c>
      <c r="J50" s="12" t="s">
        <v>566</v>
      </c>
      <c r="K50" s="12" t="s">
        <v>567</v>
      </c>
      <c r="L50" s="12" t="s">
        <v>568</v>
      </c>
      <c r="M50" s="12" t="s">
        <v>569</v>
      </c>
      <c r="N50" s="12" t="str">
        <f aca="false">IF(COUNTA(D50:M50)=10,"Completa","Revisar")</f>
        <v>Completa</v>
      </c>
      <c r="O50" s="2"/>
      <c r="P50" s="2"/>
      <c r="Q50" s="2"/>
      <c r="R50" s="2"/>
      <c r="S50" s="2"/>
      <c r="T50" s="2"/>
      <c r="U50" s="2"/>
      <c r="V50" s="2"/>
      <c r="W50" s="2"/>
      <c r="X50" s="2"/>
      <c r="Y50" s="2"/>
      <c r="Z50" s="2"/>
    </row>
    <row r="51" customFormat="false" ht="42" hidden="false" customHeight="true" outlineLevel="0" collapsed="false">
      <c r="A51" s="12" t="s">
        <v>570</v>
      </c>
      <c r="B51" s="12" t="s">
        <v>55</v>
      </c>
      <c r="C51" s="13" t="n">
        <v>4</v>
      </c>
      <c r="D51" s="12" t="s">
        <v>571</v>
      </c>
      <c r="E51" s="12" t="s">
        <v>572</v>
      </c>
      <c r="F51" s="12" t="s">
        <v>573</v>
      </c>
      <c r="G51" s="12" t="s">
        <v>574</v>
      </c>
      <c r="H51" s="12" t="s">
        <v>575</v>
      </c>
      <c r="I51" s="12" t="s">
        <v>576</v>
      </c>
      <c r="J51" s="12" t="s">
        <v>577</v>
      </c>
      <c r="K51" s="12" t="s">
        <v>578</v>
      </c>
      <c r="L51" s="12" t="s">
        <v>579</v>
      </c>
      <c r="M51" s="12" t="s">
        <v>580</v>
      </c>
      <c r="N51" s="12" t="str">
        <f aca="false">IF(COUNTA(D51:M51)=10,"Completa","Revisar")</f>
        <v>Completa</v>
      </c>
      <c r="O51" s="2"/>
      <c r="P51" s="2"/>
      <c r="Q51" s="2"/>
      <c r="R51" s="2"/>
      <c r="S51" s="2"/>
      <c r="T51" s="2"/>
      <c r="U51" s="2"/>
      <c r="V51" s="2"/>
      <c r="W51" s="2"/>
      <c r="X51" s="2"/>
      <c r="Y51" s="2"/>
      <c r="Z51" s="2"/>
    </row>
    <row r="52" customFormat="false" ht="42" hidden="false" customHeight="true" outlineLevel="0" collapsed="false">
      <c r="A52" s="12" t="s">
        <v>581</v>
      </c>
      <c r="B52" s="12" t="s">
        <v>55</v>
      </c>
      <c r="C52" s="13" t="n">
        <v>5</v>
      </c>
      <c r="D52" s="12" t="s">
        <v>582</v>
      </c>
      <c r="E52" s="12" t="s">
        <v>583</v>
      </c>
      <c r="F52" s="12" t="s">
        <v>582</v>
      </c>
      <c r="G52" s="12" t="s">
        <v>584</v>
      </c>
      <c r="H52" s="12" t="s">
        <v>582</v>
      </c>
      <c r="I52" s="12" t="s">
        <v>585</v>
      </c>
      <c r="J52" s="12" t="s">
        <v>586</v>
      </c>
      <c r="K52" s="12" t="s">
        <v>587</v>
      </c>
      <c r="L52" s="12" t="s">
        <v>588</v>
      </c>
      <c r="M52" s="12" t="s">
        <v>589</v>
      </c>
      <c r="N52" s="12" t="str">
        <f aca="false">IF(COUNTA(D52:M52)=10,"Completa","Revisar")</f>
        <v>Completa</v>
      </c>
      <c r="O52" s="2"/>
      <c r="P52" s="2"/>
      <c r="Q52" s="2"/>
      <c r="R52" s="2"/>
      <c r="S52" s="2"/>
      <c r="T52" s="2"/>
      <c r="U52" s="2"/>
      <c r="V52" s="2"/>
      <c r="W52" s="2"/>
      <c r="X52" s="2"/>
      <c r="Y52" s="2"/>
      <c r="Z52" s="2"/>
    </row>
    <row r="53" customFormat="false" ht="42" hidden="false" customHeight="true" outlineLevel="0" collapsed="false">
      <c r="A53" s="12" t="s">
        <v>590</v>
      </c>
      <c r="B53" s="12" t="s">
        <v>55</v>
      </c>
      <c r="C53" s="13" t="n">
        <v>6</v>
      </c>
      <c r="D53" s="12" t="s">
        <v>591</v>
      </c>
      <c r="E53" s="12" t="s">
        <v>592</v>
      </c>
      <c r="F53" s="12" t="s">
        <v>593</v>
      </c>
      <c r="G53" s="12" t="s">
        <v>594</v>
      </c>
      <c r="H53" s="12" t="s">
        <v>595</v>
      </c>
      <c r="I53" s="12" t="s">
        <v>596</v>
      </c>
      <c r="J53" s="12" t="s">
        <v>597</v>
      </c>
      <c r="K53" s="12" t="s">
        <v>598</v>
      </c>
      <c r="L53" s="12" t="s">
        <v>599</v>
      </c>
      <c r="M53" s="12" t="s">
        <v>600</v>
      </c>
      <c r="N53" s="12" t="str">
        <f aca="false">IF(COUNTA(D53:M53)=10,"Completa","Revisar")</f>
        <v>Completa</v>
      </c>
      <c r="O53" s="2"/>
      <c r="P53" s="2"/>
      <c r="Q53" s="2"/>
      <c r="R53" s="2"/>
      <c r="S53" s="2"/>
      <c r="T53" s="2"/>
      <c r="U53" s="2"/>
      <c r="V53" s="2"/>
      <c r="W53" s="2"/>
      <c r="X53" s="2"/>
      <c r="Y53" s="2"/>
      <c r="Z53" s="2"/>
    </row>
    <row r="54" customFormat="false" ht="42" hidden="false" customHeight="true" outlineLevel="0" collapsed="false">
      <c r="A54" s="12" t="s">
        <v>601</v>
      </c>
      <c r="B54" s="12" t="s">
        <v>55</v>
      </c>
      <c r="C54" s="13" t="n">
        <v>7</v>
      </c>
      <c r="D54" s="12" t="s">
        <v>602</v>
      </c>
      <c r="E54" s="12" t="s">
        <v>603</v>
      </c>
      <c r="F54" s="12" t="s">
        <v>604</v>
      </c>
      <c r="G54" s="12" t="s">
        <v>605</v>
      </c>
      <c r="H54" s="12" t="s">
        <v>606</v>
      </c>
      <c r="I54" s="12" t="s">
        <v>607</v>
      </c>
      <c r="J54" s="12" t="s">
        <v>608</v>
      </c>
      <c r="K54" s="12" t="s">
        <v>609</v>
      </c>
      <c r="L54" s="12" t="s">
        <v>610</v>
      </c>
      <c r="M54" s="12" t="s">
        <v>611</v>
      </c>
      <c r="N54" s="12" t="str">
        <f aca="false">IF(COUNTA(D54:M54)=10,"Completa","Revisar")</f>
        <v>Completa</v>
      </c>
      <c r="O54" s="2"/>
      <c r="P54" s="2"/>
      <c r="Q54" s="2"/>
      <c r="R54" s="2"/>
      <c r="S54" s="2"/>
      <c r="T54" s="2"/>
      <c r="U54" s="2"/>
      <c r="V54" s="2"/>
      <c r="W54" s="2"/>
      <c r="X54" s="2"/>
      <c r="Y54" s="2"/>
      <c r="Z54" s="2"/>
    </row>
    <row r="55" customFormat="false" ht="42" hidden="false" customHeight="true" outlineLevel="0" collapsed="false">
      <c r="A55" s="12" t="s">
        <v>612</v>
      </c>
      <c r="B55" s="12" t="s">
        <v>56</v>
      </c>
      <c r="C55" s="13" t="n">
        <v>1</v>
      </c>
      <c r="D55" s="12" t="s">
        <v>613</v>
      </c>
      <c r="E55" s="12" t="s">
        <v>614</v>
      </c>
      <c r="F55" s="12" t="s">
        <v>615</v>
      </c>
      <c r="G55" s="12" t="s">
        <v>616</v>
      </c>
      <c r="H55" s="12" t="s">
        <v>617</v>
      </c>
      <c r="I55" s="12" t="s">
        <v>618</v>
      </c>
      <c r="J55" s="12" t="s">
        <v>619</v>
      </c>
      <c r="K55" s="12" t="s">
        <v>620</v>
      </c>
      <c r="L55" s="12" t="s">
        <v>621</v>
      </c>
      <c r="M55" s="12" t="s">
        <v>622</v>
      </c>
      <c r="N55" s="12" t="str">
        <f aca="false">IF(COUNTA(D55:M55)=10,"Completa","Revisar")</f>
        <v>Completa</v>
      </c>
      <c r="O55" s="2"/>
      <c r="P55" s="2"/>
      <c r="Q55" s="2"/>
      <c r="R55" s="2"/>
      <c r="S55" s="2"/>
      <c r="T55" s="2"/>
      <c r="U55" s="2"/>
      <c r="V55" s="2"/>
      <c r="W55" s="2"/>
      <c r="X55" s="2"/>
      <c r="Y55" s="2"/>
      <c r="Z55" s="2"/>
    </row>
    <row r="56" customFormat="false" ht="42" hidden="false" customHeight="true" outlineLevel="0" collapsed="false">
      <c r="A56" s="12" t="s">
        <v>623</v>
      </c>
      <c r="B56" s="12" t="s">
        <v>56</v>
      </c>
      <c r="C56" s="13" t="n">
        <v>2</v>
      </c>
      <c r="D56" s="12" t="s">
        <v>624</v>
      </c>
      <c r="E56" s="12" t="s">
        <v>625</v>
      </c>
      <c r="F56" s="12" t="s">
        <v>626</v>
      </c>
      <c r="G56" s="12" t="s">
        <v>627</v>
      </c>
      <c r="H56" s="12" t="s">
        <v>628</v>
      </c>
      <c r="I56" s="12" t="s">
        <v>629</v>
      </c>
      <c r="J56" s="12" t="s">
        <v>630</v>
      </c>
      <c r="K56" s="12" t="s">
        <v>631</v>
      </c>
      <c r="L56" s="12" t="s">
        <v>632</v>
      </c>
      <c r="M56" s="12" t="s">
        <v>633</v>
      </c>
      <c r="N56" s="12" t="str">
        <f aca="false">IF(COUNTA(D56:M56)=10,"Completa","Revisar")</f>
        <v>Completa</v>
      </c>
      <c r="O56" s="2"/>
      <c r="P56" s="2"/>
      <c r="Q56" s="2"/>
      <c r="R56" s="2"/>
      <c r="S56" s="2"/>
      <c r="T56" s="2"/>
      <c r="U56" s="2"/>
      <c r="V56" s="2"/>
      <c r="W56" s="2"/>
      <c r="X56" s="2"/>
      <c r="Y56" s="2"/>
      <c r="Z56" s="2"/>
    </row>
    <row r="57" customFormat="false" ht="42" hidden="false" customHeight="true" outlineLevel="0" collapsed="false">
      <c r="A57" s="12" t="s">
        <v>634</v>
      </c>
      <c r="B57" s="12" t="s">
        <v>56</v>
      </c>
      <c r="C57" s="13" t="n">
        <v>3</v>
      </c>
      <c r="D57" s="12" t="s">
        <v>635</v>
      </c>
      <c r="E57" s="12" t="s">
        <v>636</v>
      </c>
      <c r="F57" s="12" t="s">
        <v>637</v>
      </c>
      <c r="G57" s="12" t="s">
        <v>638</v>
      </c>
      <c r="H57" s="12" t="s">
        <v>639</v>
      </c>
      <c r="I57" s="12" t="s">
        <v>640</v>
      </c>
      <c r="J57" s="12" t="s">
        <v>641</v>
      </c>
      <c r="K57" s="12" t="s">
        <v>642</v>
      </c>
      <c r="L57" s="12" t="s">
        <v>643</v>
      </c>
      <c r="M57" s="12" t="s">
        <v>644</v>
      </c>
      <c r="N57" s="12" t="str">
        <f aca="false">IF(COUNTA(D57:M57)=10,"Completa","Revisar")</f>
        <v>Completa</v>
      </c>
      <c r="O57" s="2"/>
      <c r="P57" s="2"/>
      <c r="Q57" s="2"/>
      <c r="R57" s="2"/>
      <c r="S57" s="2"/>
      <c r="T57" s="2"/>
      <c r="U57" s="2"/>
      <c r="V57" s="2"/>
      <c r="W57" s="2"/>
      <c r="X57" s="2"/>
      <c r="Y57" s="2"/>
      <c r="Z57" s="2"/>
    </row>
    <row r="58" customFormat="false" ht="42" hidden="false" customHeight="true" outlineLevel="0" collapsed="false">
      <c r="A58" s="12" t="s">
        <v>645</v>
      </c>
      <c r="B58" s="12" t="s">
        <v>56</v>
      </c>
      <c r="C58" s="13" t="n">
        <v>4</v>
      </c>
      <c r="D58" s="12" t="s">
        <v>646</v>
      </c>
      <c r="E58" s="12" t="s">
        <v>647</v>
      </c>
      <c r="F58" s="12" t="s">
        <v>648</v>
      </c>
      <c r="G58" s="12" t="s">
        <v>649</v>
      </c>
      <c r="H58" s="12" t="s">
        <v>650</v>
      </c>
      <c r="I58" s="12" t="s">
        <v>651</v>
      </c>
      <c r="J58" s="12" t="s">
        <v>652</v>
      </c>
      <c r="K58" s="12" t="s">
        <v>653</v>
      </c>
      <c r="L58" s="12" t="s">
        <v>654</v>
      </c>
      <c r="M58" s="12" t="s">
        <v>655</v>
      </c>
      <c r="N58" s="12" t="str">
        <f aca="false">IF(COUNTA(D58:M58)=10,"Completa","Revisar")</f>
        <v>Completa</v>
      </c>
      <c r="O58" s="2"/>
      <c r="P58" s="2"/>
      <c r="Q58" s="2"/>
      <c r="R58" s="2"/>
      <c r="S58" s="2"/>
      <c r="T58" s="2"/>
      <c r="U58" s="2"/>
      <c r="V58" s="2"/>
      <c r="W58" s="2"/>
      <c r="X58" s="2"/>
      <c r="Y58" s="2"/>
      <c r="Z58" s="2"/>
    </row>
    <row r="59" customFormat="false" ht="42" hidden="false" customHeight="true" outlineLevel="0" collapsed="false">
      <c r="A59" s="12" t="s">
        <v>656</v>
      </c>
      <c r="B59" s="12" t="s">
        <v>56</v>
      </c>
      <c r="C59" s="13" t="n">
        <v>5</v>
      </c>
      <c r="D59" s="12" t="s">
        <v>657</v>
      </c>
      <c r="E59" s="12" t="s">
        <v>658</v>
      </c>
      <c r="F59" s="12" t="s">
        <v>659</v>
      </c>
      <c r="G59" s="12" t="s">
        <v>660</v>
      </c>
      <c r="H59" s="12" t="s">
        <v>661</v>
      </c>
      <c r="I59" s="12" t="s">
        <v>662</v>
      </c>
      <c r="J59" s="12" t="s">
        <v>663</v>
      </c>
      <c r="K59" s="12" t="s">
        <v>664</v>
      </c>
      <c r="L59" s="12" t="s">
        <v>665</v>
      </c>
      <c r="M59" s="12" t="s">
        <v>666</v>
      </c>
      <c r="N59" s="12" t="str">
        <f aca="false">IF(COUNTA(D59:M59)=10,"Completa","Revisar")</f>
        <v>Completa</v>
      </c>
      <c r="O59" s="2"/>
      <c r="P59" s="2"/>
      <c r="Q59" s="2"/>
      <c r="R59" s="2"/>
      <c r="S59" s="2"/>
      <c r="T59" s="2"/>
      <c r="U59" s="2"/>
      <c r="V59" s="2"/>
      <c r="W59" s="2"/>
      <c r="X59" s="2"/>
      <c r="Y59" s="2"/>
      <c r="Z59" s="2"/>
    </row>
    <row r="60" customFormat="false" ht="14.25" hidden="false" customHeight="fals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4.25" hidden="false" customHeight="fals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4.25" hidden="false" customHeight="fals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4.25" hidden="false" customHeight="fals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4.25" hidden="false" customHeight="fals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4.25" hidden="false" customHeight="fals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4.25" hidden="false" customHeight="fals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4.25" hidden="false" customHeight="fals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4.25" hidden="false" customHeight="fals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4.25" hidden="false" customHeight="fals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4.25" hidden="false" customHeight="fals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4.25" hidden="false" customHeight="fals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4.25" hidden="false" customHeight="fals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4.25" hidden="false" customHeight="fals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4.25" hidden="false" customHeight="fals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4.25" hidden="false" customHeight="fals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4.25" hidden="false" customHeight="fals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4.25" hidden="false" customHeight="fals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4.25" hidden="false" customHeight="fals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4.25" hidden="false" customHeight="fals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4.25" hidden="false" customHeight="fals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4.25" hidden="false" customHeight="fals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4.25" hidden="false" customHeight="fals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4.25" hidden="false" customHeight="fals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4.25" hidden="false" customHeight="fals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4.25" hidden="false" customHeight="fals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4.25" hidden="false" customHeight="fals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4.25" hidden="false" customHeight="fals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4.25" hidden="false" customHeight="fals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4.25" hidden="false" customHeight="fals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4.25" hidden="false" customHeight="fals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4.25" hidden="false" customHeight="fals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4.25" hidden="false" customHeight="fals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4.25" hidden="false" customHeight="fals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4.25" hidden="false" customHeight="fals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4.25" hidden="false" customHeight="fals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4.25" hidden="false" customHeight="fals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4.25" hidden="false" customHeight="fals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4.25" hidden="false" customHeight="fals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4.25" hidden="false" customHeight="fals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4.25" hidden="false" customHeight="fals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4.25" hidden="false" customHeight="fals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4.25" hidden="false" customHeight="fals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4.25" hidden="false" customHeight="fals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4.25" hidden="false" customHeight="fals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4.25" hidden="false" customHeight="fals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4.25" hidden="false" customHeight="fals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4.25" hidden="false" customHeight="fals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4.25" hidden="false" customHeight="fals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4.25" hidden="false" customHeight="fals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4.25" hidden="false" customHeight="fals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4.25" hidden="false" customHeight="fals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4.25" hidden="false" customHeight="fals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4.25" hidden="false" customHeight="fals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4.25" hidden="false" customHeight="fals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4.25" hidden="false" customHeight="fals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4.25" hidden="false" customHeight="fals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4.25" hidden="false" customHeight="fals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4.25" hidden="false" customHeight="fals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4.25" hidden="false" customHeight="fals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4.25" hidden="false" customHeight="fals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4.25" hidden="false" customHeight="fals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4.25" hidden="false" customHeight="fals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4.25" hidden="false" customHeight="fals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4.25" hidden="false" customHeight="fals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4.25" hidden="false" customHeight="fals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4.25" hidden="false" customHeight="fals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4.25" hidden="false" customHeight="fals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4.25" hidden="false" customHeight="fals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4.25" hidden="false" customHeight="fals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4.25" hidden="false" customHeight="fals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4.25" hidden="false" customHeight="fals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4.25" hidden="false" customHeight="fals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4.25" hidden="false" customHeight="fals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4.25" hidden="false" customHeight="fals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4.25" hidden="false" customHeight="fals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4.25" hidden="false" customHeight="fals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4.25" hidden="false" customHeight="fals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4.25" hidden="false" customHeight="fals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4.25" hidden="false" customHeight="fals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4.25" hidden="false" customHeight="fals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4.25" hidden="false" customHeight="fals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4.25" hidden="false" customHeight="fals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4.25" hidden="false" customHeight="fals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4.25" hidden="false" customHeight="fals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4.25" hidden="false" customHeight="fals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4.25" hidden="false" customHeight="fals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4.25" hidden="false" customHeight="fals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4.25" hidden="false" customHeight="fals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4.25" hidden="false" customHeight="fals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4.25" hidden="false" customHeight="fals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4.25" hidden="false" customHeight="fals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4.25" hidden="false" customHeight="fals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4.25" hidden="false" customHeight="fals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4.25" hidden="false" customHeight="fals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4.25" hidden="false" customHeight="fals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4.25" hidden="false" customHeight="fals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4.25" hidden="false" customHeight="fals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4.25" hidden="false" customHeight="fals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4.25" hidden="false" customHeight="fals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4.25" hidden="false" customHeight="fals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4.25" hidden="false" customHeight="fals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4.25" hidden="false" customHeight="fals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4.25" hidden="false" customHeight="fals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4.25" hidden="false" customHeight="fals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4.25" hidden="false" customHeight="fals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4.25" hidden="false" customHeight="fals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4.25" hidden="false" customHeight="fals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4.25" hidden="false" customHeight="fals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4.25" hidden="false" customHeight="fals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4.25" hidden="false" customHeight="fals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4.25" hidden="false" customHeight="fals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4.25" hidden="false" customHeight="fals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4.25" hidden="false" customHeight="fals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4.25" hidden="false" customHeight="fals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4.25" hidden="false" customHeight="fals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4.25" hidden="false" customHeight="fals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4.25" hidden="false" customHeight="fals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4.25" hidden="false" customHeight="fals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4.25" hidden="false" customHeight="fals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4.25" hidden="false" customHeight="fals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4.25" hidden="false" customHeight="fals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4.25" hidden="false" customHeight="fals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4.25" hidden="false" customHeight="fals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4.25" hidden="false" customHeight="fals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4.25" hidden="false" customHeight="fals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4.25" hidden="false" customHeight="fals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4.25" hidden="false" customHeight="fals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4.25" hidden="false" customHeight="fals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4.25" hidden="false" customHeight="fals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4.25" hidden="false" customHeight="fals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4.25" hidden="false" customHeight="fals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4.25" hidden="false" customHeight="fals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4.25" hidden="false" customHeight="fals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4.25" hidden="false" customHeight="fals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4.25" hidden="false" customHeight="fals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4.25" hidden="false" customHeight="fals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4.25" hidden="false" customHeight="fals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4.25" hidden="false" customHeight="fals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4.25" hidden="false" customHeight="fals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4.25" hidden="false" customHeight="fals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sheetData>
  <autoFilter ref="A4:N59"/>
  <mergeCells count="2">
    <mergeCell ref="A1:N1"/>
    <mergeCell ref="A2:N2"/>
  </mergeCells>
  <conditionalFormatting sqref="N5:N59">
    <cfRule type="expression" priority="2" aboveAverage="0" equalAverage="0" bottom="0" percent="0" rank="0" text="" dxfId="5">
      <formula>N5="Completa"</formula>
    </cfRule>
    <cfRule type="expression" priority="3" aboveAverage="0" equalAverage="0" bottom="0" percent="0" rank="0" text="" dxfId="6">
      <formula>N5="Revisar"</formula>
    </cfRule>
    <cfRule type="cellIs" priority="4" operator="equal" aboveAverage="0" equalAverage="0" bottom="0" percent="0" rank="0" text="" dxfId="7">
      <formula>"Revisar"</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36039"/>
    <pageSetUpPr fitToPage="false"/>
  </sheetPr>
  <dimension ref="A1:Z200"/>
  <sheetViews>
    <sheetView showFormulas="false" showGridLines="true" showRowColHeaders="true" showZeros="true" rightToLeft="false" tabSelected="false" showOutlineSymbols="true" defaultGridColor="true" view="normal" topLeftCell="A6" colorId="64" zoomScale="100" zoomScaleNormal="100" zoomScalePageLayoutView="100" workbookViewId="0">
      <pane xSplit="2" ySplit="4" topLeftCell="C5" activePane="bottomRight" state="frozen"/>
      <selection pane="topLeft" activeCell="A6" activeCellId="0" sqref="A6"/>
      <selection pane="topRight" activeCell="C6" activeCellId="0" sqref="C6"/>
      <selection pane="bottomLeft" activeCell="A5" activeCellId="0" sqref="A5"/>
      <selection pane="bottomRight" activeCell="A1" activeCellId="0" sqref="A1"/>
    </sheetView>
  </sheetViews>
  <sheetFormatPr defaultColWidth="9.00390625" defaultRowHeight="14.25" zeroHeight="false" outlineLevelRow="0" outlineLevelCol="0"/>
  <cols>
    <col collapsed="false" customWidth="true" hidden="false" outlineLevel="0" max="2" min="1" style="0" width="12"/>
    <col collapsed="false" customWidth="true" hidden="false" outlineLevel="0" max="3" min="3" style="0" width="24"/>
    <col collapsed="false" customWidth="true" hidden="false" outlineLevel="0" max="4" min="4" style="0" width="27"/>
    <col collapsed="false" customWidth="true" hidden="false" outlineLevel="0" max="5" min="5" style="0" width="15"/>
    <col collapsed="false" customWidth="true" hidden="false" outlineLevel="0" max="9" min="6" style="0" width="12"/>
    <col collapsed="false" customWidth="true" hidden="false" outlineLevel="0" max="10" min="10" style="0" width="15"/>
    <col collapsed="false" customWidth="true" hidden="false" outlineLevel="0" max="11" min="11" style="0" width="18"/>
    <col collapsed="false" customWidth="true" hidden="false" outlineLevel="0" max="13" min="12" style="0" width="14"/>
    <col collapsed="false" customWidth="true" hidden="false" outlineLevel="0" max="14" min="14" style="0" width="10"/>
    <col collapsed="false" customWidth="true" hidden="false" outlineLevel="0" max="15" min="15" style="0" width="16"/>
    <col collapsed="false" customWidth="true" hidden="false" outlineLevel="0" max="16" min="16" style="0" width="22"/>
    <col collapsed="false" customWidth="true" hidden="false" outlineLevel="0" max="17" min="17" style="0" width="46"/>
  </cols>
  <sheetData>
    <row r="1" customFormat="false" ht="30" hidden="false" customHeight="true" outlineLevel="0" collapsed="false">
      <c r="A1" s="1" t="s">
        <v>667</v>
      </c>
      <c r="B1" s="1"/>
      <c r="C1" s="1"/>
      <c r="D1" s="1"/>
      <c r="E1" s="1"/>
      <c r="F1" s="1"/>
      <c r="G1" s="1"/>
      <c r="H1" s="1"/>
      <c r="I1" s="1"/>
      <c r="J1" s="1"/>
      <c r="K1" s="1"/>
      <c r="L1" s="1"/>
      <c r="M1" s="1"/>
      <c r="N1" s="1"/>
      <c r="O1" s="1"/>
      <c r="P1" s="1"/>
      <c r="Q1" s="1"/>
      <c r="R1" s="2"/>
      <c r="S1" s="2"/>
      <c r="T1" s="2"/>
      <c r="U1" s="2"/>
      <c r="V1" s="2"/>
      <c r="W1" s="2"/>
      <c r="X1" s="2"/>
      <c r="Y1" s="2"/>
      <c r="Z1" s="2"/>
    </row>
    <row r="2" customFormat="false" ht="30" hidden="false" customHeight="true" outlineLevel="0" collapsed="false">
      <c r="A2" s="3" t="s">
        <v>668</v>
      </c>
      <c r="B2" s="3"/>
      <c r="C2" s="3"/>
      <c r="D2" s="3"/>
      <c r="E2" s="3"/>
      <c r="F2" s="3"/>
      <c r="G2" s="3"/>
      <c r="H2" s="3"/>
      <c r="I2" s="3"/>
      <c r="J2" s="3"/>
      <c r="K2" s="3"/>
      <c r="L2" s="3"/>
      <c r="M2" s="3"/>
      <c r="N2" s="3"/>
      <c r="O2" s="3"/>
      <c r="P2" s="3"/>
      <c r="Q2" s="3"/>
      <c r="R2" s="2"/>
      <c r="S2" s="2"/>
      <c r="T2" s="2"/>
      <c r="U2" s="2"/>
      <c r="V2" s="2"/>
      <c r="W2" s="2"/>
      <c r="X2" s="2"/>
      <c r="Y2" s="2"/>
      <c r="Z2" s="2"/>
    </row>
    <row r="3" customFormat="false" ht="14.25" hidden="false" customHeight="false" outlineLevel="0" collapsed="false">
      <c r="A3" s="2"/>
      <c r="B3" s="2"/>
      <c r="C3" s="2"/>
      <c r="D3" s="2"/>
      <c r="E3" s="2"/>
      <c r="F3" s="2"/>
      <c r="G3" s="2"/>
      <c r="H3" s="2"/>
      <c r="I3" s="2"/>
      <c r="J3" s="2"/>
      <c r="K3" s="2"/>
      <c r="L3" s="2"/>
      <c r="M3" s="2"/>
      <c r="N3" s="2"/>
      <c r="O3" s="2"/>
      <c r="P3" s="2"/>
      <c r="Q3" s="2"/>
      <c r="R3" s="2"/>
      <c r="S3" s="2"/>
      <c r="T3" s="2"/>
      <c r="U3" s="2"/>
      <c r="V3" s="2"/>
      <c r="W3" s="2"/>
      <c r="X3" s="2"/>
      <c r="Y3" s="2"/>
      <c r="Z3" s="2"/>
    </row>
    <row r="4" customFormat="false" ht="36" hidden="false" customHeight="true" outlineLevel="0" collapsed="false">
      <c r="A4" s="11" t="s">
        <v>79</v>
      </c>
      <c r="B4" s="11" t="s">
        <v>669</v>
      </c>
      <c r="C4" s="11" t="s">
        <v>670</v>
      </c>
      <c r="D4" s="11" t="s">
        <v>35</v>
      </c>
      <c r="E4" s="11" t="s">
        <v>671</v>
      </c>
      <c r="F4" s="11" t="s">
        <v>672</v>
      </c>
      <c r="G4" s="11" t="s">
        <v>673</v>
      </c>
      <c r="H4" s="11" t="s">
        <v>674</v>
      </c>
      <c r="I4" s="11" t="s">
        <v>675</v>
      </c>
      <c r="J4" s="11" t="s">
        <v>676</v>
      </c>
      <c r="K4" s="11" t="s">
        <v>677</v>
      </c>
      <c r="L4" s="11" t="s">
        <v>678</v>
      </c>
      <c r="M4" s="11" t="s">
        <v>679</v>
      </c>
      <c r="N4" s="11" t="s">
        <v>680</v>
      </c>
      <c r="O4" s="11" t="s">
        <v>681</v>
      </c>
      <c r="P4" s="11" t="s">
        <v>682</v>
      </c>
      <c r="Q4" s="11" t="s">
        <v>683</v>
      </c>
      <c r="R4" s="2"/>
      <c r="S4" s="2"/>
      <c r="T4" s="2"/>
      <c r="U4" s="2"/>
      <c r="V4" s="2"/>
      <c r="W4" s="2"/>
      <c r="X4" s="2"/>
      <c r="Y4" s="2"/>
      <c r="Z4" s="2"/>
    </row>
    <row r="5" customFormat="false" ht="42" hidden="false" customHeight="true" outlineLevel="0" collapsed="false">
      <c r="A5" s="12" t="s">
        <v>91</v>
      </c>
      <c r="B5" s="12" t="s">
        <v>91</v>
      </c>
      <c r="C5" s="12" t="s">
        <v>684</v>
      </c>
      <c r="D5" s="12" t="s">
        <v>38</v>
      </c>
      <c r="E5" s="12" t="s">
        <v>685</v>
      </c>
      <c r="F5" s="13" t="n">
        <v>1</v>
      </c>
      <c r="G5" s="13" t="n">
        <v>1</v>
      </c>
      <c r="H5" s="13" t="n">
        <f aca="false">(F5*100)+G5</f>
        <v>101</v>
      </c>
      <c r="I5" s="13" t="n">
        <v>2</v>
      </c>
      <c r="J5" s="12" t="s">
        <v>686</v>
      </c>
      <c r="K5" s="12" t="s">
        <v>686</v>
      </c>
      <c r="L5" s="12" t="s">
        <v>686</v>
      </c>
      <c r="M5" s="12" t="s">
        <v>687</v>
      </c>
      <c r="N5" s="12" t="s">
        <v>687</v>
      </c>
      <c r="O5" s="12" t="s">
        <v>687</v>
      </c>
      <c r="P5" s="12" t="s">
        <v>688</v>
      </c>
      <c r="Q5" s="12"/>
      <c r="R5" s="2"/>
      <c r="S5" s="2"/>
      <c r="T5" s="2"/>
      <c r="U5" s="2"/>
      <c r="V5" s="2"/>
      <c r="W5" s="2"/>
      <c r="X5" s="2"/>
      <c r="Y5" s="2"/>
      <c r="Z5" s="2"/>
    </row>
    <row r="6" customFormat="false" ht="42" hidden="false" customHeight="true" outlineLevel="0" collapsed="false">
      <c r="A6" s="12" t="s">
        <v>102</v>
      </c>
      <c r="B6" s="12" t="s">
        <v>102</v>
      </c>
      <c r="C6" s="12" t="s">
        <v>684</v>
      </c>
      <c r="D6" s="12" t="s">
        <v>38</v>
      </c>
      <c r="E6" s="12" t="s">
        <v>685</v>
      </c>
      <c r="F6" s="13" t="n">
        <v>1</v>
      </c>
      <c r="G6" s="13" t="n">
        <v>2</v>
      </c>
      <c r="H6" s="13" t="n">
        <f aca="false">(F6*100)+G6</f>
        <v>102</v>
      </c>
      <c r="I6" s="13" t="n">
        <v>2</v>
      </c>
      <c r="J6" s="12" t="s">
        <v>686</v>
      </c>
      <c r="K6" s="12" t="s">
        <v>687</v>
      </c>
      <c r="L6" s="12" t="s">
        <v>687</v>
      </c>
      <c r="M6" s="12" t="s">
        <v>687</v>
      </c>
      <c r="N6" s="12" t="s">
        <v>687</v>
      </c>
      <c r="O6" s="12" t="s">
        <v>687</v>
      </c>
      <c r="P6" s="12"/>
      <c r="Q6" s="12"/>
      <c r="R6" s="2"/>
      <c r="S6" s="2"/>
      <c r="T6" s="2"/>
      <c r="U6" s="2"/>
      <c r="V6" s="2"/>
      <c r="W6" s="2"/>
      <c r="X6" s="2"/>
      <c r="Y6" s="2"/>
      <c r="Z6" s="2"/>
    </row>
    <row r="7" customFormat="false" ht="42" hidden="false" customHeight="true" outlineLevel="0" collapsed="false">
      <c r="A7" s="12" t="s">
        <v>113</v>
      </c>
      <c r="B7" s="12" t="s">
        <v>113</v>
      </c>
      <c r="C7" s="12" t="s">
        <v>684</v>
      </c>
      <c r="D7" s="12" t="s">
        <v>38</v>
      </c>
      <c r="E7" s="12" t="s">
        <v>685</v>
      </c>
      <c r="F7" s="13" t="n">
        <v>1</v>
      </c>
      <c r="G7" s="13" t="n">
        <v>3</v>
      </c>
      <c r="H7" s="13" t="n">
        <f aca="false">(F7*100)+G7</f>
        <v>103</v>
      </c>
      <c r="I7" s="13" t="n">
        <v>2</v>
      </c>
      <c r="J7" s="12" t="s">
        <v>686</v>
      </c>
      <c r="K7" s="12" t="s">
        <v>687</v>
      </c>
      <c r="L7" s="12" t="s">
        <v>686</v>
      </c>
      <c r="M7" s="12" t="s">
        <v>687</v>
      </c>
      <c r="N7" s="12" t="s">
        <v>687</v>
      </c>
      <c r="O7" s="12" t="s">
        <v>687</v>
      </c>
      <c r="P7" s="12" t="s">
        <v>689</v>
      </c>
      <c r="Q7" s="12"/>
      <c r="R7" s="2"/>
      <c r="S7" s="2"/>
      <c r="T7" s="2"/>
      <c r="U7" s="2"/>
      <c r="V7" s="2"/>
      <c r="W7" s="2"/>
      <c r="X7" s="2"/>
      <c r="Y7" s="2"/>
      <c r="Z7" s="2"/>
    </row>
    <row r="8" customFormat="false" ht="42" hidden="false" customHeight="true" outlineLevel="0" collapsed="false">
      <c r="A8" s="12" t="s">
        <v>124</v>
      </c>
      <c r="B8" s="12" t="s">
        <v>124</v>
      </c>
      <c r="C8" s="12" t="s">
        <v>684</v>
      </c>
      <c r="D8" s="12" t="s">
        <v>38</v>
      </c>
      <c r="E8" s="12" t="s">
        <v>685</v>
      </c>
      <c r="F8" s="13" t="n">
        <v>1</v>
      </c>
      <c r="G8" s="13" t="n">
        <v>4</v>
      </c>
      <c r="H8" s="13" t="n">
        <f aca="false">(F8*100)+G8</f>
        <v>104</v>
      </c>
      <c r="I8" s="13" t="n">
        <v>2</v>
      </c>
      <c r="J8" s="12" t="s">
        <v>686</v>
      </c>
      <c r="K8" s="12" t="s">
        <v>687</v>
      </c>
      <c r="L8" s="12" t="s">
        <v>686</v>
      </c>
      <c r="M8" s="12" t="s">
        <v>687</v>
      </c>
      <c r="N8" s="12" t="s">
        <v>687</v>
      </c>
      <c r="O8" s="12" t="s">
        <v>687</v>
      </c>
      <c r="P8" s="12" t="s">
        <v>690</v>
      </c>
      <c r="Q8" s="12"/>
      <c r="R8" s="2"/>
      <c r="S8" s="2"/>
      <c r="T8" s="2"/>
      <c r="U8" s="2"/>
      <c r="V8" s="2"/>
      <c r="W8" s="2"/>
      <c r="X8" s="2"/>
      <c r="Y8" s="2"/>
      <c r="Z8" s="2"/>
    </row>
    <row r="9" customFormat="false" ht="42" hidden="false" customHeight="true" outlineLevel="0" collapsed="false">
      <c r="A9" s="12" t="s">
        <v>135</v>
      </c>
      <c r="B9" s="12" t="s">
        <v>135</v>
      </c>
      <c r="C9" s="12" t="s">
        <v>684</v>
      </c>
      <c r="D9" s="12" t="s">
        <v>41</v>
      </c>
      <c r="E9" s="12" t="s">
        <v>691</v>
      </c>
      <c r="F9" s="13" t="n">
        <v>2</v>
      </c>
      <c r="G9" s="13" t="n">
        <v>1</v>
      </c>
      <c r="H9" s="13" t="n">
        <f aca="false">(F9*100)+G9</f>
        <v>201</v>
      </c>
      <c r="I9" s="13" t="n">
        <v>2</v>
      </c>
      <c r="J9" s="12" t="s">
        <v>686</v>
      </c>
      <c r="K9" s="12" t="s">
        <v>687</v>
      </c>
      <c r="L9" s="12" t="s">
        <v>687</v>
      </c>
      <c r="M9" s="12" t="s">
        <v>687</v>
      </c>
      <c r="N9" s="12" t="s">
        <v>687</v>
      </c>
      <c r="O9" s="12" t="s">
        <v>687</v>
      </c>
      <c r="P9" s="12"/>
      <c r="Q9" s="12" t="s">
        <v>692</v>
      </c>
      <c r="R9" s="2"/>
      <c r="S9" s="2"/>
      <c r="T9" s="2"/>
      <c r="U9" s="2"/>
      <c r="V9" s="2"/>
      <c r="W9" s="2"/>
      <c r="X9" s="2"/>
      <c r="Y9" s="2"/>
      <c r="Z9" s="2"/>
    </row>
    <row r="10" customFormat="false" ht="42" hidden="false" customHeight="true" outlineLevel="0" collapsed="false">
      <c r="A10" s="12" t="s">
        <v>146</v>
      </c>
      <c r="B10" s="12" t="s">
        <v>146</v>
      </c>
      <c r="C10" s="12" t="s">
        <v>684</v>
      </c>
      <c r="D10" s="12" t="s">
        <v>41</v>
      </c>
      <c r="E10" s="12" t="s">
        <v>691</v>
      </c>
      <c r="F10" s="13" t="n">
        <v>2</v>
      </c>
      <c r="G10" s="13" t="n">
        <v>2</v>
      </c>
      <c r="H10" s="13" t="n">
        <f aca="false">(F10*100)+G10</f>
        <v>202</v>
      </c>
      <c r="I10" s="13" t="n">
        <v>2</v>
      </c>
      <c r="J10" s="12" t="s">
        <v>686</v>
      </c>
      <c r="K10" s="12" t="s">
        <v>687</v>
      </c>
      <c r="L10" s="12" t="s">
        <v>687</v>
      </c>
      <c r="M10" s="12" t="s">
        <v>687</v>
      </c>
      <c r="N10" s="12" t="s">
        <v>687</v>
      </c>
      <c r="O10" s="12" t="s">
        <v>687</v>
      </c>
      <c r="P10" s="12"/>
      <c r="Q10" s="12"/>
      <c r="R10" s="2"/>
      <c r="S10" s="2"/>
      <c r="T10" s="2"/>
      <c r="U10" s="2"/>
      <c r="V10" s="2"/>
      <c r="W10" s="2"/>
      <c r="X10" s="2"/>
      <c r="Y10" s="2"/>
      <c r="Z10" s="2"/>
    </row>
    <row r="11" customFormat="false" ht="42" hidden="false" customHeight="true" outlineLevel="0" collapsed="false">
      <c r="A11" s="12" t="s">
        <v>157</v>
      </c>
      <c r="B11" s="12" t="s">
        <v>157</v>
      </c>
      <c r="C11" s="12" t="s">
        <v>684</v>
      </c>
      <c r="D11" s="12" t="s">
        <v>41</v>
      </c>
      <c r="E11" s="12" t="s">
        <v>691</v>
      </c>
      <c r="F11" s="13" t="n">
        <v>2</v>
      </c>
      <c r="G11" s="13" t="n">
        <v>3</v>
      </c>
      <c r="H11" s="13" t="n">
        <f aca="false">(F11*100)+G11</f>
        <v>203</v>
      </c>
      <c r="I11" s="13" t="n">
        <v>2</v>
      </c>
      <c r="J11" s="12" t="s">
        <v>686</v>
      </c>
      <c r="K11" s="12" t="s">
        <v>687</v>
      </c>
      <c r="L11" s="12" t="s">
        <v>687</v>
      </c>
      <c r="M11" s="12" t="s">
        <v>687</v>
      </c>
      <c r="N11" s="12" t="s">
        <v>687</v>
      </c>
      <c r="O11" s="12" t="s">
        <v>687</v>
      </c>
      <c r="P11" s="12"/>
      <c r="Q11" s="12"/>
      <c r="R11" s="2"/>
      <c r="S11" s="2"/>
      <c r="T11" s="2"/>
      <c r="U11" s="2"/>
      <c r="V11" s="2"/>
      <c r="W11" s="2"/>
      <c r="X11" s="2"/>
      <c r="Y11" s="2"/>
      <c r="Z11" s="2"/>
    </row>
    <row r="12" customFormat="false" ht="42" hidden="false" customHeight="true" outlineLevel="0" collapsed="false">
      <c r="A12" s="12" t="s">
        <v>168</v>
      </c>
      <c r="B12" s="12" t="s">
        <v>168</v>
      </c>
      <c r="C12" s="12" t="s">
        <v>684</v>
      </c>
      <c r="D12" s="12" t="s">
        <v>41</v>
      </c>
      <c r="E12" s="12" t="s">
        <v>691</v>
      </c>
      <c r="F12" s="13" t="n">
        <v>2</v>
      </c>
      <c r="G12" s="13" t="n">
        <v>4</v>
      </c>
      <c r="H12" s="13" t="n">
        <f aca="false">(F12*100)+G12</f>
        <v>204</v>
      </c>
      <c r="I12" s="13" t="n">
        <v>2</v>
      </c>
      <c r="J12" s="12" t="s">
        <v>686</v>
      </c>
      <c r="K12" s="12" t="s">
        <v>687</v>
      </c>
      <c r="L12" s="12" t="s">
        <v>687</v>
      </c>
      <c r="M12" s="12" t="s">
        <v>687</v>
      </c>
      <c r="N12" s="12" t="s">
        <v>687</v>
      </c>
      <c r="O12" s="12" t="s">
        <v>687</v>
      </c>
      <c r="P12" s="12"/>
      <c r="Q12" s="12"/>
      <c r="R12" s="2"/>
      <c r="S12" s="2"/>
      <c r="T12" s="2"/>
      <c r="U12" s="2"/>
      <c r="V12" s="2"/>
      <c r="W12" s="2"/>
      <c r="X12" s="2"/>
      <c r="Y12" s="2"/>
      <c r="Z12" s="2"/>
    </row>
    <row r="13" customFormat="false" ht="42" hidden="false" customHeight="true" outlineLevel="0" collapsed="false">
      <c r="A13" s="12" t="s">
        <v>179</v>
      </c>
      <c r="B13" s="12" t="s">
        <v>179</v>
      </c>
      <c r="C13" s="12" t="s">
        <v>684</v>
      </c>
      <c r="D13" s="12" t="s">
        <v>41</v>
      </c>
      <c r="E13" s="12" t="s">
        <v>691</v>
      </c>
      <c r="F13" s="13" t="n">
        <v>2</v>
      </c>
      <c r="G13" s="13" t="n">
        <v>5</v>
      </c>
      <c r="H13" s="13" t="n">
        <f aca="false">(F13*100)+G13</f>
        <v>205</v>
      </c>
      <c r="I13" s="13" t="n">
        <v>2</v>
      </c>
      <c r="J13" s="12" t="s">
        <v>686</v>
      </c>
      <c r="K13" s="12" t="s">
        <v>687</v>
      </c>
      <c r="L13" s="12" t="s">
        <v>687</v>
      </c>
      <c r="M13" s="12" t="s">
        <v>687</v>
      </c>
      <c r="N13" s="12" t="s">
        <v>687</v>
      </c>
      <c r="O13" s="12" t="s">
        <v>687</v>
      </c>
      <c r="P13" s="12"/>
      <c r="Q13" s="12" t="s">
        <v>693</v>
      </c>
      <c r="R13" s="2"/>
      <c r="S13" s="2"/>
      <c r="T13" s="2"/>
      <c r="U13" s="2"/>
      <c r="V13" s="2"/>
      <c r="W13" s="2"/>
      <c r="X13" s="2"/>
      <c r="Y13" s="2"/>
      <c r="Z13" s="2"/>
    </row>
    <row r="14" customFormat="false" ht="42" hidden="false" customHeight="true" outlineLevel="0" collapsed="false">
      <c r="A14" s="12" t="s">
        <v>190</v>
      </c>
      <c r="B14" s="12" t="s">
        <v>190</v>
      </c>
      <c r="C14" s="12" t="s">
        <v>684</v>
      </c>
      <c r="D14" s="12" t="s">
        <v>41</v>
      </c>
      <c r="E14" s="12" t="s">
        <v>691</v>
      </c>
      <c r="F14" s="13" t="n">
        <v>2</v>
      </c>
      <c r="G14" s="13" t="n">
        <v>6</v>
      </c>
      <c r="H14" s="13" t="n">
        <f aca="false">(F14*100)+G14</f>
        <v>206</v>
      </c>
      <c r="I14" s="13" t="n">
        <v>2</v>
      </c>
      <c r="J14" s="12" t="s">
        <v>686</v>
      </c>
      <c r="K14" s="12" t="s">
        <v>687</v>
      </c>
      <c r="L14" s="12" t="s">
        <v>687</v>
      </c>
      <c r="M14" s="12" t="s">
        <v>687</v>
      </c>
      <c r="N14" s="12" t="s">
        <v>687</v>
      </c>
      <c r="O14" s="12" t="s">
        <v>687</v>
      </c>
      <c r="P14" s="12" t="s">
        <v>694</v>
      </c>
      <c r="Q14" s="12"/>
      <c r="R14" s="2"/>
      <c r="S14" s="2"/>
      <c r="T14" s="2"/>
      <c r="U14" s="2"/>
      <c r="V14" s="2"/>
      <c r="W14" s="2"/>
      <c r="X14" s="2"/>
      <c r="Y14" s="2"/>
      <c r="Z14" s="2"/>
    </row>
    <row r="15" customFormat="false" ht="42" hidden="false" customHeight="true" outlineLevel="0" collapsed="false">
      <c r="A15" s="12" t="s">
        <v>200</v>
      </c>
      <c r="B15" s="12" t="s">
        <v>200</v>
      </c>
      <c r="C15" s="12" t="s">
        <v>684</v>
      </c>
      <c r="D15" s="12" t="s">
        <v>41</v>
      </c>
      <c r="E15" s="12" t="s">
        <v>691</v>
      </c>
      <c r="F15" s="13" t="n">
        <v>2</v>
      </c>
      <c r="G15" s="13" t="n">
        <v>7</v>
      </c>
      <c r="H15" s="13" t="n">
        <f aca="false">(F15*100)+G15</f>
        <v>207</v>
      </c>
      <c r="I15" s="13" t="n">
        <v>2</v>
      </c>
      <c r="J15" s="12" t="s">
        <v>686</v>
      </c>
      <c r="K15" s="12" t="s">
        <v>687</v>
      </c>
      <c r="L15" s="12" t="s">
        <v>687</v>
      </c>
      <c r="M15" s="12" t="s">
        <v>687</v>
      </c>
      <c r="N15" s="12" t="s">
        <v>687</v>
      </c>
      <c r="O15" s="12" t="s">
        <v>687</v>
      </c>
      <c r="P15" s="12"/>
      <c r="Q15" s="12" t="s">
        <v>695</v>
      </c>
      <c r="R15" s="2"/>
      <c r="S15" s="2"/>
      <c r="T15" s="2"/>
      <c r="U15" s="2"/>
      <c r="V15" s="2"/>
      <c r="W15" s="2"/>
      <c r="X15" s="2"/>
      <c r="Y15" s="2"/>
      <c r="Z15" s="2"/>
    </row>
    <row r="16" customFormat="false" ht="42" hidden="false" customHeight="true" outlineLevel="0" collapsed="false">
      <c r="A16" s="12" t="s">
        <v>208</v>
      </c>
      <c r="B16" s="12" t="s">
        <v>208</v>
      </c>
      <c r="C16" s="12" t="s">
        <v>696</v>
      </c>
      <c r="D16" s="12" t="s">
        <v>43</v>
      </c>
      <c r="E16" s="12" t="s">
        <v>697</v>
      </c>
      <c r="F16" s="13" t="n">
        <v>3</v>
      </c>
      <c r="G16" s="13" t="n">
        <v>1</v>
      </c>
      <c r="H16" s="13" t="n">
        <f aca="false">(F16*100)+G16</f>
        <v>301</v>
      </c>
      <c r="I16" s="13" t="n">
        <v>2</v>
      </c>
      <c r="J16" s="12" t="s">
        <v>686</v>
      </c>
      <c r="K16" s="12" t="s">
        <v>687</v>
      </c>
      <c r="L16" s="12" t="s">
        <v>687</v>
      </c>
      <c r="M16" s="12" t="s">
        <v>687</v>
      </c>
      <c r="N16" s="12" t="s">
        <v>687</v>
      </c>
      <c r="O16" s="12" t="s">
        <v>687</v>
      </c>
      <c r="P16" s="12"/>
      <c r="Q16" s="12"/>
      <c r="R16" s="2"/>
      <c r="S16" s="2"/>
      <c r="T16" s="2"/>
      <c r="U16" s="2"/>
      <c r="V16" s="2"/>
      <c r="W16" s="2"/>
      <c r="X16" s="2"/>
      <c r="Y16" s="2"/>
      <c r="Z16" s="2"/>
    </row>
    <row r="17" customFormat="false" ht="42" hidden="false" customHeight="true" outlineLevel="0" collapsed="false">
      <c r="A17" s="12" t="s">
        <v>219</v>
      </c>
      <c r="B17" s="12" t="s">
        <v>219</v>
      </c>
      <c r="C17" s="12" t="s">
        <v>696</v>
      </c>
      <c r="D17" s="12" t="s">
        <v>45</v>
      </c>
      <c r="E17" s="12" t="s">
        <v>698</v>
      </c>
      <c r="F17" s="13" t="n">
        <v>4</v>
      </c>
      <c r="G17" s="13" t="n">
        <v>1</v>
      </c>
      <c r="H17" s="13" t="n">
        <f aca="false">(F17*100)+G17</f>
        <v>401</v>
      </c>
      <c r="I17" s="13" t="n">
        <v>2</v>
      </c>
      <c r="J17" s="12" t="s">
        <v>686</v>
      </c>
      <c r="K17" s="12" t="s">
        <v>687</v>
      </c>
      <c r="L17" s="12" t="s">
        <v>687</v>
      </c>
      <c r="M17" s="12" t="s">
        <v>687</v>
      </c>
      <c r="N17" s="12" t="s">
        <v>687</v>
      </c>
      <c r="O17" s="12" t="s">
        <v>687</v>
      </c>
      <c r="P17" s="12"/>
      <c r="Q17" s="12"/>
      <c r="R17" s="2"/>
      <c r="S17" s="2"/>
      <c r="T17" s="2"/>
      <c r="U17" s="2"/>
      <c r="V17" s="2"/>
      <c r="W17" s="2"/>
      <c r="X17" s="2"/>
      <c r="Y17" s="2"/>
      <c r="Z17" s="2"/>
    </row>
    <row r="18" customFormat="false" ht="42" hidden="false" customHeight="true" outlineLevel="0" collapsed="false">
      <c r="A18" s="12" t="s">
        <v>230</v>
      </c>
      <c r="B18" s="12" t="s">
        <v>230</v>
      </c>
      <c r="C18" s="12" t="s">
        <v>696</v>
      </c>
      <c r="D18" s="12" t="s">
        <v>45</v>
      </c>
      <c r="E18" s="12" t="s">
        <v>698</v>
      </c>
      <c r="F18" s="13" t="n">
        <v>4</v>
      </c>
      <c r="G18" s="13" t="n">
        <v>2</v>
      </c>
      <c r="H18" s="13" t="n">
        <f aca="false">(F18*100)+G18</f>
        <v>402</v>
      </c>
      <c r="I18" s="13" t="n">
        <v>2</v>
      </c>
      <c r="J18" s="12" t="s">
        <v>686</v>
      </c>
      <c r="K18" s="12" t="s">
        <v>687</v>
      </c>
      <c r="L18" s="12" t="s">
        <v>687</v>
      </c>
      <c r="M18" s="12" t="s">
        <v>687</v>
      </c>
      <c r="N18" s="12" t="s">
        <v>687</v>
      </c>
      <c r="O18" s="12" t="s">
        <v>687</v>
      </c>
      <c r="P18" s="12"/>
      <c r="Q18" s="12"/>
      <c r="R18" s="2"/>
      <c r="S18" s="2"/>
      <c r="T18" s="2"/>
      <c r="U18" s="2"/>
      <c r="V18" s="2"/>
      <c r="W18" s="2"/>
      <c r="X18" s="2"/>
      <c r="Y18" s="2"/>
      <c r="Z18" s="2"/>
    </row>
    <row r="19" customFormat="false" ht="42" hidden="false" customHeight="true" outlineLevel="0" collapsed="false">
      <c r="A19" s="12" t="s">
        <v>241</v>
      </c>
      <c r="B19" s="12" t="s">
        <v>241</v>
      </c>
      <c r="C19" s="12" t="s">
        <v>696</v>
      </c>
      <c r="D19" s="12" t="s">
        <v>45</v>
      </c>
      <c r="E19" s="12" t="s">
        <v>698</v>
      </c>
      <c r="F19" s="13" t="n">
        <v>4</v>
      </c>
      <c r="G19" s="13" t="n">
        <v>3</v>
      </c>
      <c r="H19" s="13" t="n">
        <f aca="false">(F19*100)+G19</f>
        <v>403</v>
      </c>
      <c r="I19" s="13" t="n">
        <v>2</v>
      </c>
      <c r="J19" s="12" t="s">
        <v>686</v>
      </c>
      <c r="K19" s="12" t="s">
        <v>687</v>
      </c>
      <c r="L19" s="12" t="s">
        <v>687</v>
      </c>
      <c r="M19" s="12" t="s">
        <v>687</v>
      </c>
      <c r="N19" s="12" t="s">
        <v>687</v>
      </c>
      <c r="O19" s="12" t="s">
        <v>687</v>
      </c>
      <c r="P19" s="12"/>
      <c r="Q19" s="12"/>
      <c r="R19" s="2"/>
      <c r="S19" s="2"/>
      <c r="T19" s="2"/>
      <c r="U19" s="2"/>
      <c r="V19" s="2"/>
      <c r="W19" s="2"/>
      <c r="X19" s="2"/>
      <c r="Y19" s="2"/>
      <c r="Z19" s="2"/>
    </row>
    <row r="20" customFormat="false" ht="42" hidden="false" customHeight="true" outlineLevel="0" collapsed="false">
      <c r="A20" s="12" t="s">
        <v>252</v>
      </c>
      <c r="B20" s="12" t="s">
        <v>252</v>
      </c>
      <c r="C20" s="12" t="s">
        <v>696</v>
      </c>
      <c r="D20" s="12" t="s">
        <v>47</v>
      </c>
      <c r="E20" s="12" t="s">
        <v>699</v>
      </c>
      <c r="F20" s="13" t="n">
        <v>5</v>
      </c>
      <c r="G20" s="13" t="n">
        <v>1</v>
      </c>
      <c r="H20" s="13" t="n">
        <f aca="false">(F20*100)+G20</f>
        <v>501</v>
      </c>
      <c r="I20" s="13" t="n">
        <v>2</v>
      </c>
      <c r="J20" s="12" t="s">
        <v>686</v>
      </c>
      <c r="K20" s="12" t="s">
        <v>686</v>
      </c>
      <c r="L20" s="12" t="s">
        <v>686</v>
      </c>
      <c r="M20" s="12" t="s">
        <v>687</v>
      </c>
      <c r="N20" s="12" t="s">
        <v>687</v>
      </c>
      <c r="O20" s="12" t="s">
        <v>687</v>
      </c>
      <c r="P20" s="12" t="s">
        <v>700</v>
      </c>
      <c r="Q20" s="12"/>
      <c r="R20" s="2"/>
      <c r="S20" s="2"/>
      <c r="T20" s="2"/>
      <c r="U20" s="2"/>
      <c r="V20" s="2"/>
      <c r="W20" s="2"/>
      <c r="X20" s="2"/>
      <c r="Y20" s="2"/>
      <c r="Z20" s="2"/>
    </row>
    <row r="21" customFormat="false" ht="42" hidden="false" customHeight="true" outlineLevel="0" collapsed="false">
      <c r="A21" s="12" t="s">
        <v>263</v>
      </c>
      <c r="B21" s="12" t="s">
        <v>263</v>
      </c>
      <c r="C21" s="12" t="s">
        <v>696</v>
      </c>
      <c r="D21" s="12" t="s">
        <v>47</v>
      </c>
      <c r="E21" s="12" t="s">
        <v>699</v>
      </c>
      <c r="F21" s="13" t="n">
        <v>5</v>
      </c>
      <c r="G21" s="13" t="n">
        <v>2</v>
      </c>
      <c r="H21" s="13" t="n">
        <f aca="false">(F21*100)+G21</f>
        <v>502</v>
      </c>
      <c r="I21" s="13" t="n">
        <v>2</v>
      </c>
      <c r="J21" s="12" t="s">
        <v>686</v>
      </c>
      <c r="K21" s="12" t="s">
        <v>687</v>
      </c>
      <c r="L21" s="12" t="s">
        <v>687</v>
      </c>
      <c r="M21" s="12" t="s">
        <v>687</v>
      </c>
      <c r="N21" s="12" t="s">
        <v>687</v>
      </c>
      <c r="O21" s="12" t="s">
        <v>687</v>
      </c>
      <c r="P21" s="12"/>
      <c r="Q21" s="12"/>
      <c r="R21" s="2"/>
      <c r="S21" s="2"/>
      <c r="T21" s="2"/>
      <c r="U21" s="2"/>
      <c r="V21" s="2"/>
      <c r="W21" s="2"/>
      <c r="X21" s="2"/>
      <c r="Y21" s="2"/>
      <c r="Z21" s="2"/>
    </row>
    <row r="22" customFormat="false" ht="42" hidden="false" customHeight="true" outlineLevel="0" collapsed="false">
      <c r="A22" s="12" t="s">
        <v>274</v>
      </c>
      <c r="B22" s="12" t="s">
        <v>274</v>
      </c>
      <c r="C22" s="12" t="s">
        <v>696</v>
      </c>
      <c r="D22" s="12" t="s">
        <v>47</v>
      </c>
      <c r="E22" s="12" t="s">
        <v>699</v>
      </c>
      <c r="F22" s="13" t="n">
        <v>5</v>
      </c>
      <c r="G22" s="13" t="n">
        <v>3</v>
      </c>
      <c r="H22" s="13" t="n">
        <f aca="false">(F22*100)+G22</f>
        <v>503</v>
      </c>
      <c r="I22" s="13" t="n">
        <v>2</v>
      </c>
      <c r="J22" s="12" t="s">
        <v>686</v>
      </c>
      <c r="K22" s="12" t="s">
        <v>687</v>
      </c>
      <c r="L22" s="12" t="s">
        <v>687</v>
      </c>
      <c r="M22" s="12" t="s">
        <v>687</v>
      </c>
      <c r="N22" s="12" t="s">
        <v>687</v>
      </c>
      <c r="O22" s="12" t="s">
        <v>687</v>
      </c>
      <c r="P22" s="12"/>
      <c r="Q22" s="12"/>
      <c r="R22" s="2"/>
      <c r="S22" s="2"/>
      <c r="T22" s="2"/>
      <c r="U22" s="2"/>
      <c r="V22" s="2"/>
      <c r="W22" s="2"/>
      <c r="X22" s="2"/>
      <c r="Y22" s="2"/>
      <c r="Z22" s="2"/>
    </row>
    <row r="23" customFormat="false" ht="42" hidden="false" customHeight="true" outlineLevel="0" collapsed="false">
      <c r="A23" s="12" t="s">
        <v>285</v>
      </c>
      <c r="B23" s="12" t="s">
        <v>285</v>
      </c>
      <c r="C23" s="12" t="s">
        <v>696</v>
      </c>
      <c r="D23" s="12" t="s">
        <v>47</v>
      </c>
      <c r="E23" s="12" t="s">
        <v>699</v>
      </c>
      <c r="F23" s="13" t="n">
        <v>5</v>
      </c>
      <c r="G23" s="13" t="n">
        <v>4</v>
      </c>
      <c r="H23" s="13" t="n">
        <f aca="false">(F23*100)+G23</f>
        <v>504</v>
      </c>
      <c r="I23" s="13" t="n">
        <v>2</v>
      </c>
      <c r="J23" s="12" t="s">
        <v>686</v>
      </c>
      <c r="K23" s="12" t="s">
        <v>687</v>
      </c>
      <c r="L23" s="12" t="s">
        <v>687</v>
      </c>
      <c r="M23" s="12" t="s">
        <v>687</v>
      </c>
      <c r="N23" s="12" t="s">
        <v>687</v>
      </c>
      <c r="O23" s="12" t="s">
        <v>687</v>
      </c>
      <c r="P23" s="12"/>
      <c r="Q23" s="12"/>
      <c r="R23" s="2"/>
      <c r="S23" s="2"/>
      <c r="T23" s="2"/>
      <c r="U23" s="2"/>
      <c r="V23" s="2"/>
      <c r="W23" s="2"/>
      <c r="X23" s="2"/>
      <c r="Y23" s="2"/>
      <c r="Z23" s="2"/>
    </row>
    <row r="24" customFormat="false" ht="42" hidden="false" customHeight="true" outlineLevel="0" collapsed="false">
      <c r="A24" s="12" t="s">
        <v>296</v>
      </c>
      <c r="B24" s="12" t="s">
        <v>296</v>
      </c>
      <c r="C24" s="12" t="s">
        <v>696</v>
      </c>
      <c r="D24" s="12" t="s">
        <v>49</v>
      </c>
      <c r="E24" s="12" t="s">
        <v>701</v>
      </c>
      <c r="F24" s="13" t="n">
        <v>6</v>
      </c>
      <c r="G24" s="13" t="n">
        <v>1</v>
      </c>
      <c r="H24" s="13" t="n">
        <f aca="false">(F24*100)+G24</f>
        <v>601</v>
      </c>
      <c r="I24" s="13" t="n">
        <v>2</v>
      </c>
      <c r="J24" s="12" t="s">
        <v>686</v>
      </c>
      <c r="K24" s="12" t="s">
        <v>687</v>
      </c>
      <c r="L24" s="12" t="s">
        <v>687</v>
      </c>
      <c r="M24" s="12" t="s">
        <v>687</v>
      </c>
      <c r="N24" s="12" t="s">
        <v>687</v>
      </c>
      <c r="O24" s="12" t="s">
        <v>687</v>
      </c>
      <c r="P24" s="12"/>
      <c r="Q24" s="12"/>
      <c r="R24" s="2"/>
      <c r="S24" s="2"/>
      <c r="T24" s="2"/>
      <c r="U24" s="2"/>
      <c r="V24" s="2"/>
      <c r="W24" s="2"/>
      <c r="X24" s="2"/>
      <c r="Y24" s="2"/>
      <c r="Z24" s="2"/>
    </row>
    <row r="25" customFormat="false" ht="42" hidden="false" customHeight="true" outlineLevel="0" collapsed="false">
      <c r="A25" s="12" t="s">
        <v>306</v>
      </c>
      <c r="B25" s="12" t="s">
        <v>306</v>
      </c>
      <c r="C25" s="12" t="s">
        <v>696</v>
      </c>
      <c r="D25" s="12" t="s">
        <v>49</v>
      </c>
      <c r="E25" s="12" t="s">
        <v>701</v>
      </c>
      <c r="F25" s="13" t="n">
        <v>6</v>
      </c>
      <c r="G25" s="13" t="n">
        <v>2</v>
      </c>
      <c r="H25" s="13" t="n">
        <f aca="false">(F25*100)+G25</f>
        <v>602</v>
      </c>
      <c r="I25" s="13" t="n">
        <v>2</v>
      </c>
      <c r="J25" s="12" t="s">
        <v>686</v>
      </c>
      <c r="K25" s="12" t="s">
        <v>686</v>
      </c>
      <c r="L25" s="12" t="s">
        <v>686</v>
      </c>
      <c r="M25" s="12" t="s">
        <v>687</v>
      </c>
      <c r="N25" s="12" t="s">
        <v>687</v>
      </c>
      <c r="O25" s="12" t="s">
        <v>687</v>
      </c>
      <c r="P25" s="12" t="s">
        <v>702</v>
      </c>
      <c r="Q25" s="12"/>
      <c r="R25" s="2"/>
      <c r="S25" s="2"/>
      <c r="T25" s="2"/>
      <c r="U25" s="2"/>
      <c r="V25" s="2"/>
      <c r="W25" s="2"/>
      <c r="X25" s="2"/>
      <c r="Y25" s="2"/>
      <c r="Z25" s="2"/>
    </row>
    <row r="26" customFormat="false" ht="42" hidden="false" customHeight="true" outlineLevel="0" collapsed="false">
      <c r="A26" s="12" t="s">
        <v>316</v>
      </c>
      <c r="B26" s="12" t="s">
        <v>316</v>
      </c>
      <c r="C26" s="12" t="s">
        <v>703</v>
      </c>
      <c r="D26" s="12" t="s">
        <v>50</v>
      </c>
      <c r="E26" s="12" t="s">
        <v>704</v>
      </c>
      <c r="F26" s="13" t="n">
        <v>7</v>
      </c>
      <c r="G26" s="13" t="n">
        <v>1</v>
      </c>
      <c r="H26" s="13" t="n">
        <f aca="false">(F26*100)+G26</f>
        <v>701</v>
      </c>
      <c r="I26" s="13" t="n">
        <v>3</v>
      </c>
      <c r="J26" s="12" t="s">
        <v>686</v>
      </c>
      <c r="K26" s="12" t="s">
        <v>687</v>
      </c>
      <c r="L26" s="12" t="s">
        <v>687</v>
      </c>
      <c r="M26" s="12" t="s">
        <v>687</v>
      </c>
      <c r="N26" s="12" t="s">
        <v>687</v>
      </c>
      <c r="O26" s="12" t="s">
        <v>687</v>
      </c>
      <c r="P26" s="12"/>
      <c r="Q26" s="12"/>
      <c r="R26" s="2"/>
      <c r="S26" s="2"/>
      <c r="T26" s="2"/>
      <c r="U26" s="2"/>
      <c r="V26" s="2"/>
      <c r="W26" s="2"/>
      <c r="X26" s="2"/>
      <c r="Y26" s="2"/>
      <c r="Z26" s="2"/>
    </row>
    <row r="27" customFormat="false" ht="42" hidden="false" customHeight="true" outlineLevel="0" collapsed="false">
      <c r="A27" s="12" t="s">
        <v>325</v>
      </c>
      <c r="B27" s="12" t="s">
        <v>325</v>
      </c>
      <c r="C27" s="12" t="s">
        <v>703</v>
      </c>
      <c r="D27" s="12" t="s">
        <v>50</v>
      </c>
      <c r="E27" s="12" t="s">
        <v>704</v>
      </c>
      <c r="F27" s="13" t="n">
        <v>7</v>
      </c>
      <c r="G27" s="13" t="n">
        <v>2</v>
      </c>
      <c r="H27" s="13" t="n">
        <f aca="false">(F27*100)+G27</f>
        <v>702</v>
      </c>
      <c r="I27" s="13" t="n">
        <v>3</v>
      </c>
      <c r="J27" s="12" t="s">
        <v>686</v>
      </c>
      <c r="K27" s="12" t="s">
        <v>687</v>
      </c>
      <c r="L27" s="12" t="s">
        <v>687</v>
      </c>
      <c r="M27" s="12" t="s">
        <v>687</v>
      </c>
      <c r="N27" s="12" t="s">
        <v>687</v>
      </c>
      <c r="O27" s="12" t="s">
        <v>687</v>
      </c>
      <c r="P27" s="12"/>
      <c r="Q27" s="12"/>
      <c r="R27" s="2"/>
      <c r="S27" s="2"/>
      <c r="T27" s="2"/>
      <c r="U27" s="2"/>
      <c r="V27" s="2"/>
      <c r="W27" s="2"/>
      <c r="X27" s="2"/>
      <c r="Y27" s="2"/>
      <c r="Z27" s="2"/>
    </row>
    <row r="28" customFormat="false" ht="42" hidden="false" customHeight="true" outlineLevel="0" collapsed="false">
      <c r="A28" s="12" t="s">
        <v>334</v>
      </c>
      <c r="B28" s="12" t="s">
        <v>334</v>
      </c>
      <c r="C28" s="12" t="s">
        <v>703</v>
      </c>
      <c r="D28" s="12" t="s">
        <v>50</v>
      </c>
      <c r="E28" s="12" t="s">
        <v>704</v>
      </c>
      <c r="F28" s="13" t="n">
        <v>7</v>
      </c>
      <c r="G28" s="13" t="n">
        <v>3</v>
      </c>
      <c r="H28" s="13" t="n">
        <f aca="false">(F28*100)+G28</f>
        <v>703</v>
      </c>
      <c r="I28" s="13" t="n">
        <v>3</v>
      </c>
      <c r="J28" s="12" t="s">
        <v>686</v>
      </c>
      <c r="K28" s="12" t="s">
        <v>687</v>
      </c>
      <c r="L28" s="12" t="s">
        <v>687</v>
      </c>
      <c r="M28" s="12" t="s">
        <v>687</v>
      </c>
      <c r="N28" s="12" t="s">
        <v>687</v>
      </c>
      <c r="O28" s="12" t="s">
        <v>687</v>
      </c>
      <c r="P28" s="12"/>
      <c r="Q28" s="12"/>
      <c r="R28" s="2"/>
      <c r="S28" s="2"/>
      <c r="T28" s="2"/>
      <c r="U28" s="2"/>
      <c r="V28" s="2"/>
      <c r="W28" s="2"/>
      <c r="X28" s="2"/>
      <c r="Y28" s="2"/>
      <c r="Z28" s="2"/>
    </row>
    <row r="29" customFormat="false" ht="42" hidden="false" customHeight="true" outlineLevel="0" collapsed="false">
      <c r="A29" s="12" t="s">
        <v>345</v>
      </c>
      <c r="B29" s="12" t="s">
        <v>345</v>
      </c>
      <c r="C29" s="12" t="s">
        <v>703</v>
      </c>
      <c r="D29" s="12" t="s">
        <v>50</v>
      </c>
      <c r="E29" s="12" t="s">
        <v>704</v>
      </c>
      <c r="F29" s="13" t="n">
        <v>7</v>
      </c>
      <c r="G29" s="13" t="n">
        <v>4</v>
      </c>
      <c r="H29" s="13" t="n">
        <f aca="false">(F29*100)+G29</f>
        <v>704</v>
      </c>
      <c r="I29" s="13" t="n">
        <v>3</v>
      </c>
      <c r="J29" s="12" t="s">
        <v>686</v>
      </c>
      <c r="K29" s="12" t="s">
        <v>687</v>
      </c>
      <c r="L29" s="12" t="s">
        <v>687</v>
      </c>
      <c r="M29" s="12" t="s">
        <v>687</v>
      </c>
      <c r="N29" s="12" t="s">
        <v>687</v>
      </c>
      <c r="O29" s="12" t="s">
        <v>687</v>
      </c>
      <c r="P29" s="12"/>
      <c r="Q29" s="12"/>
      <c r="R29" s="2"/>
      <c r="S29" s="2"/>
      <c r="T29" s="2"/>
      <c r="U29" s="2"/>
      <c r="V29" s="2"/>
      <c r="W29" s="2"/>
      <c r="X29" s="2"/>
      <c r="Y29" s="2"/>
      <c r="Z29" s="2"/>
    </row>
    <row r="30" customFormat="false" ht="42" hidden="false" customHeight="true" outlineLevel="0" collapsed="false">
      <c r="A30" s="12" t="s">
        <v>355</v>
      </c>
      <c r="B30" s="12" t="s">
        <v>355</v>
      </c>
      <c r="C30" s="12" t="s">
        <v>703</v>
      </c>
      <c r="D30" s="12" t="s">
        <v>50</v>
      </c>
      <c r="E30" s="12" t="s">
        <v>704</v>
      </c>
      <c r="F30" s="13" t="n">
        <v>7</v>
      </c>
      <c r="G30" s="13" t="n">
        <v>5</v>
      </c>
      <c r="H30" s="13" t="n">
        <f aca="false">(F30*100)+G30</f>
        <v>705</v>
      </c>
      <c r="I30" s="13" t="n">
        <v>3</v>
      </c>
      <c r="J30" s="12" t="s">
        <v>686</v>
      </c>
      <c r="K30" s="12" t="s">
        <v>687</v>
      </c>
      <c r="L30" s="12" t="s">
        <v>687</v>
      </c>
      <c r="M30" s="12" t="s">
        <v>687</v>
      </c>
      <c r="N30" s="12" t="s">
        <v>687</v>
      </c>
      <c r="O30" s="12" t="s">
        <v>687</v>
      </c>
      <c r="P30" s="12"/>
      <c r="Q30" s="12"/>
      <c r="R30" s="2"/>
      <c r="S30" s="2"/>
      <c r="T30" s="2"/>
      <c r="U30" s="2"/>
      <c r="V30" s="2"/>
      <c r="W30" s="2"/>
      <c r="X30" s="2"/>
      <c r="Y30" s="2"/>
      <c r="Z30" s="2"/>
    </row>
    <row r="31" customFormat="false" ht="42" hidden="false" customHeight="true" outlineLevel="0" collapsed="false">
      <c r="A31" s="12" t="s">
        <v>362</v>
      </c>
      <c r="B31" s="12" t="s">
        <v>362</v>
      </c>
      <c r="C31" s="12" t="s">
        <v>703</v>
      </c>
      <c r="D31" s="12" t="s">
        <v>50</v>
      </c>
      <c r="E31" s="12" t="s">
        <v>704</v>
      </c>
      <c r="F31" s="13" t="n">
        <v>7</v>
      </c>
      <c r="G31" s="13" t="n">
        <v>6</v>
      </c>
      <c r="H31" s="13" t="n">
        <f aca="false">(F31*100)+G31</f>
        <v>706</v>
      </c>
      <c r="I31" s="13" t="n">
        <v>3</v>
      </c>
      <c r="J31" s="12" t="s">
        <v>686</v>
      </c>
      <c r="K31" s="12" t="s">
        <v>687</v>
      </c>
      <c r="L31" s="12" t="s">
        <v>687</v>
      </c>
      <c r="M31" s="12" t="s">
        <v>687</v>
      </c>
      <c r="N31" s="12" t="s">
        <v>687</v>
      </c>
      <c r="O31" s="12" t="s">
        <v>687</v>
      </c>
      <c r="P31" s="12"/>
      <c r="Q31" s="12"/>
      <c r="R31" s="2"/>
      <c r="S31" s="2"/>
      <c r="T31" s="2"/>
      <c r="U31" s="2"/>
      <c r="V31" s="2"/>
      <c r="W31" s="2"/>
      <c r="X31" s="2"/>
      <c r="Y31" s="2"/>
      <c r="Z31" s="2"/>
    </row>
    <row r="32" customFormat="false" ht="42" hidden="false" customHeight="true" outlineLevel="0" collapsed="false">
      <c r="A32" s="12" t="s">
        <v>369</v>
      </c>
      <c r="B32" s="12" t="s">
        <v>369</v>
      </c>
      <c r="C32" s="12" t="s">
        <v>703</v>
      </c>
      <c r="D32" s="12" t="s">
        <v>50</v>
      </c>
      <c r="E32" s="12" t="s">
        <v>704</v>
      </c>
      <c r="F32" s="13" t="n">
        <v>7</v>
      </c>
      <c r="G32" s="13" t="n">
        <v>7</v>
      </c>
      <c r="H32" s="13" t="n">
        <f aca="false">(F32*100)+G32</f>
        <v>707</v>
      </c>
      <c r="I32" s="13" t="n">
        <v>3</v>
      </c>
      <c r="J32" s="12" t="s">
        <v>686</v>
      </c>
      <c r="K32" s="12" t="s">
        <v>687</v>
      </c>
      <c r="L32" s="12" t="s">
        <v>686</v>
      </c>
      <c r="M32" s="12" t="s">
        <v>687</v>
      </c>
      <c r="N32" s="12" t="s">
        <v>687</v>
      </c>
      <c r="O32" s="12" t="s">
        <v>687</v>
      </c>
      <c r="P32" s="12"/>
      <c r="Q32" s="12"/>
      <c r="R32" s="2"/>
      <c r="S32" s="2"/>
      <c r="T32" s="2"/>
      <c r="U32" s="2"/>
      <c r="V32" s="2"/>
      <c r="W32" s="2"/>
      <c r="X32" s="2"/>
      <c r="Y32" s="2"/>
      <c r="Z32" s="2"/>
    </row>
    <row r="33" customFormat="false" ht="42" hidden="false" customHeight="true" outlineLevel="0" collapsed="false">
      <c r="A33" s="12" t="s">
        <v>378</v>
      </c>
      <c r="B33" s="12" t="s">
        <v>378</v>
      </c>
      <c r="C33" s="12" t="s">
        <v>703</v>
      </c>
      <c r="D33" s="12" t="s">
        <v>51</v>
      </c>
      <c r="E33" s="12" t="s">
        <v>705</v>
      </c>
      <c r="F33" s="13" t="n">
        <v>8</v>
      </c>
      <c r="G33" s="13" t="n">
        <v>1</v>
      </c>
      <c r="H33" s="13" t="n">
        <f aca="false">(F33*100)+G33</f>
        <v>801</v>
      </c>
      <c r="I33" s="13" t="n">
        <v>3</v>
      </c>
      <c r="J33" s="12" t="s">
        <v>686</v>
      </c>
      <c r="K33" s="12" t="s">
        <v>687</v>
      </c>
      <c r="L33" s="12" t="s">
        <v>687</v>
      </c>
      <c r="M33" s="12" t="s">
        <v>687</v>
      </c>
      <c r="N33" s="12" t="s">
        <v>687</v>
      </c>
      <c r="O33" s="12" t="s">
        <v>687</v>
      </c>
      <c r="P33" s="12"/>
      <c r="Q33" s="12"/>
      <c r="R33" s="2"/>
      <c r="S33" s="2"/>
      <c r="T33" s="2"/>
      <c r="U33" s="2"/>
      <c r="V33" s="2"/>
      <c r="W33" s="2"/>
      <c r="X33" s="2"/>
      <c r="Y33" s="2"/>
      <c r="Z33" s="2"/>
    </row>
    <row r="34" customFormat="false" ht="42" hidden="false" customHeight="true" outlineLevel="0" collapsed="false">
      <c r="A34" s="12" t="s">
        <v>387</v>
      </c>
      <c r="B34" s="12" t="s">
        <v>387</v>
      </c>
      <c r="C34" s="12" t="s">
        <v>703</v>
      </c>
      <c r="D34" s="12" t="s">
        <v>51</v>
      </c>
      <c r="E34" s="12" t="s">
        <v>705</v>
      </c>
      <c r="F34" s="13" t="n">
        <v>8</v>
      </c>
      <c r="G34" s="13" t="n">
        <v>2</v>
      </c>
      <c r="H34" s="13" t="n">
        <f aca="false">(F34*100)+G34</f>
        <v>802</v>
      </c>
      <c r="I34" s="13" t="n">
        <v>3</v>
      </c>
      <c r="J34" s="12" t="s">
        <v>686</v>
      </c>
      <c r="K34" s="12" t="s">
        <v>687</v>
      </c>
      <c r="L34" s="12" t="s">
        <v>687</v>
      </c>
      <c r="M34" s="12" t="s">
        <v>687</v>
      </c>
      <c r="N34" s="12" t="s">
        <v>687</v>
      </c>
      <c r="O34" s="12" t="s">
        <v>687</v>
      </c>
      <c r="P34" s="12"/>
      <c r="Q34" s="12"/>
      <c r="R34" s="2"/>
      <c r="S34" s="2"/>
      <c r="T34" s="2"/>
      <c r="U34" s="2"/>
      <c r="V34" s="2"/>
      <c r="W34" s="2"/>
      <c r="X34" s="2"/>
      <c r="Y34" s="2"/>
      <c r="Z34" s="2"/>
    </row>
    <row r="35" customFormat="false" ht="42" hidden="false" customHeight="true" outlineLevel="0" collapsed="false">
      <c r="A35" s="12" t="s">
        <v>396</v>
      </c>
      <c r="B35" s="12" t="s">
        <v>396</v>
      </c>
      <c r="C35" s="12" t="s">
        <v>703</v>
      </c>
      <c r="D35" s="12" t="s">
        <v>51</v>
      </c>
      <c r="E35" s="12" t="s">
        <v>705</v>
      </c>
      <c r="F35" s="13" t="n">
        <v>8</v>
      </c>
      <c r="G35" s="13" t="n">
        <v>3</v>
      </c>
      <c r="H35" s="13" t="n">
        <f aca="false">(F35*100)+G35</f>
        <v>803</v>
      </c>
      <c r="I35" s="13" t="n">
        <v>3</v>
      </c>
      <c r="J35" s="12" t="s">
        <v>686</v>
      </c>
      <c r="K35" s="12" t="s">
        <v>686</v>
      </c>
      <c r="L35" s="12" t="s">
        <v>686</v>
      </c>
      <c r="M35" s="12" t="s">
        <v>687</v>
      </c>
      <c r="N35" s="12" t="s">
        <v>687</v>
      </c>
      <c r="O35" s="12" t="s">
        <v>687</v>
      </c>
      <c r="P35" s="12" t="s">
        <v>706</v>
      </c>
      <c r="Q35" s="12"/>
      <c r="R35" s="2"/>
      <c r="S35" s="2"/>
      <c r="T35" s="2"/>
      <c r="U35" s="2"/>
      <c r="V35" s="2"/>
      <c r="W35" s="2"/>
      <c r="X35" s="2"/>
      <c r="Y35" s="2"/>
      <c r="Z35" s="2"/>
    </row>
    <row r="36" customFormat="false" ht="42" hidden="false" customHeight="true" outlineLevel="0" collapsed="false">
      <c r="A36" s="12" t="s">
        <v>407</v>
      </c>
      <c r="B36" s="12" t="s">
        <v>407</v>
      </c>
      <c r="C36" s="12" t="s">
        <v>707</v>
      </c>
      <c r="D36" s="12" t="s">
        <v>52</v>
      </c>
      <c r="E36" s="12" t="s">
        <v>708</v>
      </c>
      <c r="F36" s="13" t="n">
        <v>9</v>
      </c>
      <c r="G36" s="13" t="n">
        <v>1</v>
      </c>
      <c r="H36" s="13" t="n">
        <f aca="false">(F36*100)+G36</f>
        <v>901</v>
      </c>
      <c r="I36" s="13" t="n">
        <v>3</v>
      </c>
      <c r="J36" s="12" t="s">
        <v>686</v>
      </c>
      <c r="K36" s="12" t="s">
        <v>687</v>
      </c>
      <c r="L36" s="12" t="s">
        <v>687</v>
      </c>
      <c r="M36" s="12" t="s">
        <v>687</v>
      </c>
      <c r="N36" s="12" t="s">
        <v>687</v>
      </c>
      <c r="O36" s="12" t="s">
        <v>687</v>
      </c>
      <c r="P36" s="12"/>
      <c r="Q36" s="12" t="s">
        <v>709</v>
      </c>
      <c r="R36" s="2"/>
      <c r="S36" s="2"/>
      <c r="T36" s="2"/>
      <c r="U36" s="2"/>
      <c r="V36" s="2"/>
      <c r="W36" s="2"/>
      <c r="X36" s="2"/>
      <c r="Y36" s="2"/>
      <c r="Z36" s="2"/>
    </row>
    <row r="37" customFormat="false" ht="42" hidden="false" customHeight="true" outlineLevel="0" collapsed="false">
      <c r="A37" s="12" t="s">
        <v>418</v>
      </c>
      <c r="B37" s="12" t="s">
        <v>418</v>
      </c>
      <c r="C37" s="12" t="s">
        <v>707</v>
      </c>
      <c r="D37" s="12" t="s">
        <v>52</v>
      </c>
      <c r="E37" s="12" t="s">
        <v>708</v>
      </c>
      <c r="F37" s="13" t="n">
        <v>9</v>
      </c>
      <c r="G37" s="13" t="n">
        <v>2</v>
      </c>
      <c r="H37" s="13" t="n">
        <f aca="false">(F37*100)+G37</f>
        <v>902</v>
      </c>
      <c r="I37" s="13" t="n">
        <v>3</v>
      </c>
      <c r="J37" s="12" t="s">
        <v>686</v>
      </c>
      <c r="K37" s="12" t="s">
        <v>687</v>
      </c>
      <c r="L37" s="12" t="s">
        <v>687</v>
      </c>
      <c r="M37" s="12" t="s">
        <v>687</v>
      </c>
      <c r="N37" s="12" t="s">
        <v>687</v>
      </c>
      <c r="O37" s="12" t="s">
        <v>687</v>
      </c>
      <c r="P37" s="12"/>
      <c r="Q37" s="12"/>
      <c r="R37" s="2"/>
      <c r="S37" s="2"/>
      <c r="T37" s="2"/>
      <c r="U37" s="2"/>
      <c r="V37" s="2"/>
      <c r="W37" s="2"/>
      <c r="X37" s="2"/>
      <c r="Y37" s="2"/>
      <c r="Z37" s="2"/>
    </row>
    <row r="38" customFormat="false" ht="42" hidden="false" customHeight="true" outlineLevel="0" collapsed="false">
      <c r="A38" s="12" t="s">
        <v>429</v>
      </c>
      <c r="B38" s="12" t="s">
        <v>429</v>
      </c>
      <c r="C38" s="12" t="s">
        <v>707</v>
      </c>
      <c r="D38" s="12" t="s">
        <v>52</v>
      </c>
      <c r="E38" s="12" t="s">
        <v>708</v>
      </c>
      <c r="F38" s="13" t="n">
        <v>9</v>
      </c>
      <c r="G38" s="13" t="n">
        <v>3</v>
      </c>
      <c r="H38" s="13" t="n">
        <f aca="false">(F38*100)+G38</f>
        <v>903</v>
      </c>
      <c r="I38" s="13" t="n">
        <v>3</v>
      </c>
      <c r="J38" s="12" t="s">
        <v>686</v>
      </c>
      <c r="K38" s="12" t="s">
        <v>687</v>
      </c>
      <c r="L38" s="12" t="s">
        <v>687</v>
      </c>
      <c r="M38" s="12" t="s">
        <v>687</v>
      </c>
      <c r="N38" s="12" t="s">
        <v>687</v>
      </c>
      <c r="O38" s="12" t="s">
        <v>687</v>
      </c>
      <c r="P38" s="12"/>
      <c r="Q38" s="12"/>
      <c r="R38" s="2"/>
      <c r="S38" s="2"/>
      <c r="T38" s="2"/>
      <c r="U38" s="2"/>
      <c r="V38" s="2"/>
      <c r="W38" s="2"/>
      <c r="X38" s="2"/>
      <c r="Y38" s="2"/>
      <c r="Z38" s="2"/>
    </row>
    <row r="39" customFormat="false" ht="42" hidden="false" customHeight="true" outlineLevel="0" collapsed="false">
      <c r="A39" s="12" t="s">
        <v>439</v>
      </c>
      <c r="B39" s="12" t="s">
        <v>439</v>
      </c>
      <c r="C39" s="12" t="s">
        <v>707</v>
      </c>
      <c r="D39" s="12" t="s">
        <v>52</v>
      </c>
      <c r="E39" s="12" t="s">
        <v>708</v>
      </c>
      <c r="F39" s="13" t="n">
        <v>9</v>
      </c>
      <c r="G39" s="13" t="n">
        <v>4</v>
      </c>
      <c r="H39" s="13" t="n">
        <f aca="false">(F39*100)+G39</f>
        <v>904</v>
      </c>
      <c r="I39" s="13" t="n">
        <v>3</v>
      </c>
      <c r="J39" s="12" t="s">
        <v>686</v>
      </c>
      <c r="K39" s="12" t="s">
        <v>687</v>
      </c>
      <c r="L39" s="12" t="s">
        <v>687</v>
      </c>
      <c r="M39" s="12" t="s">
        <v>687</v>
      </c>
      <c r="N39" s="12" t="s">
        <v>687</v>
      </c>
      <c r="O39" s="12" t="s">
        <v>687</v>
      </c>
      <c r="P39" s="12"/>
      <c r="Q39" s="12"/>
      <c r="R39" s="2"/>
      <c r="S39" s="2"/>
      <c r="T39" s="2"/>
      <c r="U39" s="2"/>
      <c r="V39" s="2"/>
      <c r="W39" s="2"/>
      <c r="X39" s="2"/>
      <c r="Y39" s="2"/>
      <c r="Z39" s="2"/>
    </row>
    <row r="40" customFormat="false" ht="42" hidden="false" customHeight="true" outlineLevel="0" collapsed="false">
      <c r="A40" s="12" t="s">
        <v>450</v>
      </c>
      <c r="B40" s="12" t="s">
        <v>450</v>
      </c>
      <c r="C40" s="12" t="s">
        <v>707</v>
      </c>
      <c r="D40" s="12" t="s">
        <v>52</v>
      </c>
      <c r="E40" s="12" t="s">
        <v>708</v>
      </c>
      <c r="F40" s="13" t="n">
        <v>9</v>
      </c>
      <c r="G40" s="13" t="n">
        <v>5</v>
      </c>
      <c r="H40" s="13" t="n">
        <f aca="false">(F40*100)+G40</f>
        <v>905</v>
      </c>
      <c r="I40" s="13" t="n">
        <v>3</v>
      </c>
      <c r="J40" s="12" t="s">
        <v>686</v>
      </c>
      <c r="K40" s="12" t="s">
        <v>687</v>
      </c>
      <c r="L40" s="12" t="s">
        <v>687</v>
      </c>
      <c r="M40" s="12" t="s">
        <v>687</v>
      </c>
      <c r="N40" s="12" t="s">
        <v>687</v>
      </c>
      <c r="O40" s="12" t="s">
        <v>687</v>
      </c>
      <c r="P40" s="12"/>
      <c r="Q40" s="12"/>
      <c r="R40" s="2"/>
      <c r="S40" s="2"/>
      <c r="T40" s="2"/>
      <c r="U40" s="2"/>
      <c r="V40" s="2"/>
      <c r="W40" s="2"/>
      <c r="X40" s="2"/>
      <c r="Y40" s="2"/>
      <c r="Z40" s="2"/>
    </row>
    <row r="41" customFormat="false" ht="42" hidden="false" customHeight="true" outlineLevel="0" collapsed="false">
      <c r="A41" s="12" t="s">
        <v>461</v>
      </c>
      <c r="B41" s="12" t="s">
        <v>461</v>
      </c>
      <c r="C41" s="12" t="s">
        <v>707</v>
      </c>
      <c r="D41" s="12" t="s">
        <v>52</v>
      </c>
      <c r="E41" s="12" t="s">
        <v>708</v>
      </c>
      <c r="F41" s="13" t="n">
        <v>9</v>
      </c>
      <c r="G41" s="13" t="n">
        <v>6</v>
      </c>
      <c r="H41" s="13" t="n">
        <f aca="false">(F41*100)+G41</f>
        <v>906</v>
      </c>
      <c r="I41" s="13" t="n">
        <v>3</v>
      </c>
      <c r="J41" s="12" t="s">
        <v>686</v>
      </c>
      <c r="K41" s="12" t="s">
        <v>687</v>
      </c>
      <c r="L41" s="12" t="s">
        <v>686</v>
      </c>
      <c r="M41" s="12" t="s">
        <v>687</v>
      </c>
      <c r="N41" s="12" t="s">
        <v>687</v>
      </c>
      <c r="O41" s="12" t="s">
        <v>687</v>
      </c>
      <c r="P41" s="12"/>
      <c r="Q41" s="12"/>
      <c r="R41" s="2"/>
      <c r="S41" s="2"/>
      <c r="T41" s="2"/>
      <c r="U41" s="2"/>
      <c r="V41" s="2"/>
      <c r="W41" s="2"/>
      <c r="X41" s="2"/>
      <c r="Y41" s="2"/>
      <c r="Z41" s="2"/>
    </row>
    <row r="42" customFormat="false" ht="42" hidden="false" customHeight="true" outlineLevel="0" collapsed="false">
      <c r="A42" s="12" t="s">
        <v>471</v>
      </c>
      <c r="B42" s="12" t="s">
        <v>471</v>
      </c>
      <c r="C42" s="12" t="s">
        <v>710</v>
      </c>
      <c r="D42" s="12" t="s">
        <v>53</v>
      </c>
      <c r="E42" s="12" t="s">
        <v>711</v>
      </c>
      <c r="F42" s="13" t="n">
        <v>10</v>
      </c>
      <c r="G42" s="13" t="n">
        <v>1</v>
      </c>
      <c r="H42" s="13" t="n">
        <f aca="false">(F42*100)+G42</f>
        <v>1001</v>
      </c>
      <c r="I42" s="13" t="n">
        <v>3</v>
      </c>
      <c r="J42" s="12" t="s">
        <v>686</v>
      </c>
      <c r="K42" s="12" t="s">
        <v>687</v>
      </c>
      <c r="L42" s="12" t="s">
        <v>687</v>
      </c>
      <c r="M42" s="12" t="s">
        <v>687</v>
      </c>
      <c r="N42" s="12" t="s">
        <v>687</v>
      </c>
      <c r="O42" s="12" t="s">
        <v>687</v>
      </c>
      <c r="P42" s="12"/>
      <c r="Q42" s="12"/>
      <c r="R42" s="2"/>
      <c r="S42" s="2"/>
      <c r="T42" s="2"/>
      <c r="U42" s="2"/>
      <c r="V42" s="2"/>
      <c r="W42" s="2"/>
      <c r="X42" s="2"/>
      <c r="Y42" s="2"/>
      <c r="Z42" s="2"/>
    </row>
    <row r="43" customFormat="false" ht="42" hidden="false" customHeight="true" outlineLevel="0" collapsed="false">
      <c r="A43" s="12" t="s">
        <v>482</v>
      </c>
      <c r="B43" s="12" t="s">
        <v>482</v>
      </c>
      <c r="C43" s="12" t="s">
        <v>710</v>
      </c>
      <c r="D43" s="12" t="s">
        <v>53</v>
      </c>
      <c r="E43" s="12" t="s">
        <v>711</v>
      </c>
      <c r="F43" s="13" t="n">
        <v>10</v>
      </c>
      <c r="G43" s="13" t="n">
        <v>2</v>
      </c>
      <c r="H43" s="13" t="n">
        <f aca="false">(F43*100)+G43</f>
        <v>1002</v>
      </c>
      <c r="I43" s="13" t="n">
        <v>3</v>
      </c>
      <c r="J43" s="12" t="s">
        <v>686</v>
      </c>
      <c r="K43" s="12" t="s">
        <v>687</v>
      </c>
      <c r="L43" s="12" t="s">
        <v>687</v>
      </c>
      <c r="M43" s="12" t="s">
        <v>687</v>
      </c>
      <c r="N43" s="12" t="s">
        <v>687</v>
      </c>
      <c r="O43" s="12" t="s">
        <v>687</v>
      </c>
      <c r="P43" s="12"/>
      <c r="Q43" s="12"/>
      <c r="R43" s="2"/>
      <c r="S43" s="2"/>
      <c r="T43" s="2"/>
      <c r="U43" s="2"/>
      <c r="V43" s="2"/>
      <c r="W43" s="2"/>
      <c r="X43" s="2"/>
      <c r="Y43" s="2"/>
      <c r="Z43" s="2"/>
    </row>
    <row r="44" customFormat="false" ht="42" hidden="false" customHeight="true" outlineLevel="0" collapsed="false">
      <c r="A44" s="12" t="s">
        <v>493</v>
      </c>
      <c r="B44" s="12" t="s">
        <v>493</v>
      </c>
      <c r="C44" s="12" t="s">
        <v>54</v>
      </c>
      <c r="D44" s="12" t="s">
        <v>54</v>
      </c>
      <c r="E44" s="12" t="s">
        <v>712</v>
      </c>
      <c r="F44" s="13" t="n">
        <v>11</v>
      </c>
      <c r="G44" s="13" t="n">
        <v>1</v>
      </c>
      <c r="H44" s="13" t="n">
        <f aca="false">(F44*100)+G44</f>
        <v>1101</v>
      </c>
      <c r="I44" s="13" t="n">
        <v>3</v>
      </c>
      <c r="J44" s="12" t="s">
        <v>686</v>
      </c>
      <c r="K44" s="12" t="s">
        <v>687</v>
      </c>
      <c r="L44" s="12" t="s">
        <v>687</v>
      </c>
      <c r="M44" s="12" t="s">
        <v>687</v>
      </c>
      <c r="N44" s="12" t="s">
        <v>687</v>
      </c>
      <c r="O44" s="12" t="s">
        <v>687</v>
      </c>
      <c r="P44" s="12"/>
      <c r="Q44" s="12" t="s">
        <v>713</v>
      </c>
      <c r="R44" s="2"/>
      <c r="S44" s="2"/>
      <c r="T44" s="2"/>
      <c r="U44" s="2"/>
      <c r="V44" s="2"/>
      <c r="W44" s="2"/>
      <c r="X44" s="2"/>
      <c r="Y44" s="2"/>
      <c r="Z44" s="2"/>
    </row>
    <row r="45" customFormat="false" ht="42" hidden="false" customHeight="true" outlineLevel="0" collapsed="false">
      <c r="A45" s="12" t="s">
        <v>504</v>
      </c>
      <c r="B45" s="12" t="s">
        <v>504</v>
      </c>
      <c r="C45" s="12" t="s">
        <v>54</v>
      </c>
      <c r="D45" s="12" t="s">
        <v>54</v>
      </c>
      <c r="E45" s="12" t="s">
        <v>712</v>
      </c>
      <c r="F45" s="13" t="n">
        <v>11</v>
      </c>
      <c r="G45" s="13" t="n">
        <v>2</v>
      </c>
      <c r="H45" s="13" t="n">
        <f aca="false">(F45*100)+G45</f>
        <v>1102</v>
      </c>
      <c r="I45" s="13" t="n">
        <v>3</v>
      </c>
      <c r="J45" s="12" t="s">
        <v>686</v>
      </c>
      <c r="K45" s="12" t="s">
        <v>687</v>
      </c>
      <c r="L45" s="12" t="s">
        <v>687</v>
      </c>
      <c r="M45" s="12" t="s">
        <v>687</v>
      </c>
      <c r="N45" s="12" t="s">
        <v>687</v>
      </c>
      <c r="O45" s="12" t="s">
        <v>687</v>
      </c>
      <c r="P45" s="12"/>
      <c r="Q45" s="12" t="s">
        <v>713</v>
      </c>
      <c r="R45" s="2"/>
      <c r="S45" s="2"/>
      <c r="T45" s="2"/>
      <c r="U45" s="2"/>
      <c r="V45" s="2"/>
      <c r="W45" s="2"/>
      <c r="X45" s="2"/>
      <c r="Y45" s="2"/>
      <c r="Z45" s="2"/>
    </row>
    <row r="46" customFormat="false" ht="42" hidden="false" customHeight="true" outlineLevel="0" collapsed="false">
      <c r="A46" s="12" t="s">
        <v>515</v>
      </c>
      <c r="B46" s="12" t="s">
        <v>515</v>
      </c>
      <c r="C46" s="12" t="s">
        <v>54</v>
      </c>
      <c r="D46" s="12" t="s">
        <v>54</v>
      </c>
      <c r="E46" s="12" t="s">
        <v>712</v>
      </c>
      <c r="F46" s="13" t="n">
        <v>11</v>
      </c>
      <c r="G46" s="13" t="n">
        <v>3</v>
      </c>
      <c r="H46" s="13" t="n">
        <f aca="false">(F46*100)+G46</f>
        <v>1103</v>
      </c>
      <c r="I46" s="13" t="n">
        <v>3</v>
      </c>
      <c r="J46" s="12" t="s">
        <v>686</v>
      </c>
      <c r="K46" s="12" t="s">
        <v>687</v>
      </c>
      <c r="L46" s="12" t="s">
        <v>687</v>
      </c>
      <c r="M46" s="12" t="s">
        <v>687</v>
      </c>
      <c r="N46" s="12" t="s">
        <v>687</v>
      </c>
      <c r="O46" s="12" t="s">
        <v>687</v>
      </c>
      <c r="P46" s="12"/>
      <c r="Q46" s="12" t="s">
        <v>713</v>
      </c>
      <c r="R46" s="2"/>
      <c r="S46" s="2"/>
      <c r="T46" s="2"/>
      <c r="U46" s="2"/>
      <c r="V46" s="2"/>
      <c r="W46" s="2"/>
      <c r="X46" s="2"/>
      <c r="Y46" s="2"/>
      <c r="Z46" s="2"/>
    </row>
    <row r="47" customFormat="false" ht="42" hidden="false" customHeight="true" outlineLevel="0" collapsed="false">
      <c r="A47" s="12" t="s">
        <v>526</v>
      </c>
      <c r="B47" s="12" t="s">
        <v>526</v>
      </c>
      <c r="C47" s="12" t="s">
        <v>54</v>
      </c>
      <c r="D47" s="12" t="s">
        <v>54</v>
      </c>
      <c r="E47" s="12" t="s">
        <v>712</v>
      </c>
      <c r="F47" s="13" t="n">
        <v>11</v>
      </c>
      <c r="G47" s="13" t="n">
        <v>4</v>
      </c>
      <c r="H47" s="13" t="n">
        <f aca="false">(F47*100)+G47</f>
        <v>1104</v>
      </c>
      <c r="I47" s="13" t="n">
        <v>3</v>
      </c>
      <c r="J47" s="12" t="s">
        <v>686</v>
      </c>
      <c r="K47" s="12" t="s">
        <v>687</v>
      </c>
      <c r="L47" s="12" t="s">
        <v>687</v>
      </c>
      <c r="M47" s="12" t="s">
        <v>687</v>
      </c>
      <c r="N47" s="12" t="s">
        <v>687</v>
      </c>
      <c r="O47" s="12" t="s">
        <v>687</v>
      </c>
      <c r="P47" s="12"/>
      <c r="Q47" s="12" t="s">
        <v>713</v>
      </c>
      <c r="R47" s="2"/>
      <c r="S47" s="2"/>
      <c r="T47" s="2"/>
      <c r="U47" s="2"/>
      <c r="V47" s="2"/>
      <c r="W47" s="2"/>
      <c r="X47" s="2"/>
      <c r="Y47" s="2"/>
      <c r="Z47" s="2"/>
    </row>
    <row r="48" customFormat="false" ht="42" hidden="false" customHeight="true" outlineLevel="0" collapsed="false">
      <c r="A48" s="12" t="s">
        <v>537</v>
      </c>
      <c r="B48" s="12" t="s">
        <v>537</v>
      </c>
      <c r="C48" s="12" t="s">
        <v>714</v>
      </c>
      <c r="D48" s="12" t="s">
        <v>55</v>
      </c>
      <c r="E48" s="12" t="s">
        <v>715</v>
      </c>
      <c r="F48" s="13" t="n">
        <v>12</v>
      </c>
      <c r="G48" s="13" t="n">
        <v>1</v>
      </c>
      <c r="H48" s="13" t="n">
        <f aca="false">(F48*100)+G48</f>
        <v>1201</v>
      </c>
      <c r="I48" s="13" t="n">
        <v>4</v>
      </c>
      <c r="J48" s="12" t="s">
        <v>686</v>
      </c>
      <c r="K48" s="12" t="s">
        <v>686</v>
      </c>
      <c r="L48" s="12" t="s">
        <v>686</v>
      </c>
      <c r="M48" s="12" t="s">
        <v>687</v>
      </c>
      <c r="N48" s="12" t="s">
        <v>687</v>
      </c>
      <c r="O48" s="12" t="s">
        <v>687</v>
      </c>
      <c r="P48" s="12" t="s">
        <v>716</v>
      </c>
      <c r="Q48" s="12"/>
      <c r="R48" s="2"/>
      <c r="S48" s="2"/>
      <c r="T48" s="2"/>
      <c r="U48" s="2"/>
      <c r="V48" s="2"/>
      <c r="W48" s="2"/>
      <c r="X48" s="2"/>
      <c r="Y48" s="2"/>
      <c r="Z48" s="2"/>
    </row>
    <row r="49" customFormat="false" ht="42" hidden="false" customHeight="true" outlineLevel="0" collapsed="false">
      <c r="A49" s="12" t="s">
        <v>548</v>
      </c>
      <c r="B49" s="12" t="s">
        <v>548</v>
      </c>
      <c r="C49" s="12" t="s">
        <v>714</v>
      </c>
      <c r="D49" s="12" t="s">
        <v>55</v>
      </c>
      <c r="E49" s="12" t="s">
        <v>715</v>
      </c>
      <c r="F49" s="13" t="n">
        <v>12</v>
      </c>
      <c r="G49" s="13" t="n">
        <v>2</v>
      </c>
      <c r="H49" s="13" t="n">
        <f aca="false">(F49*100)+G49</f>
        <v>1202</v>
      </c>
      <c r="I49" s="13" t="n">
        <v>4</v>
      </c>
      <c r="J49" s="12" t="s">
        <v>686</v>
      </c>
      <c r="K49" s="12" t="s">
        <v>687</v>
      </c>
      <c r="L49" s="12" t="s">
        <v>686</v>
      </c>
      <c r="M49" s="12" t="s">
        <v>687</v>
      </c>
      <c r="N49" s="12" t="s">
        <v>687</v>
      </c>
      <c r="O49" s="12" t="s">
        <v>687</v>
      </c>
      <c r="P49" s="12"/>
      <c r="Q49" s="12"/>
      <c r="R49" s="2"/>
      <c r="S49" s="2"/>
      <c r="T49" s="2"/>
      <c r="U49" s="2"/>
      <c r="V49" s="2"/>
      <c r="W49" s="2"/>
      <c r="X49" s="2"/>
      <c r="Y49" s="2"/>
      <c r="Z49" s="2"/>
    </row>
    <row r="50" customFormat="false" ht="42" hidden="false" customHeight="true" outlineLevel="0" collapsed="false">
      <c r="A50" s="12" t="s">
        <v>559</v>
      </c>
      <c r="B50" s="12" t="s">
        <v>559</v>
      </c>
      <c r="C50" s="12" t="s">
        <v>714</v>
      </c>
      <c r="D50" s="12" t="s">
        <v>55</v>
      </c>
      <c r="E50" s="12" t="s">
        <v>715</v>
      </c>
      <c r="F50" s="13" t="n">
        <v>12</v>
      </c>
      <c r="G50" s="13" t="n">
        <v>3</v>
      </c>
      <c r="H50" s="13" t="n">
        <f aca="false">(F50*100)+G50</f>
        <v>1203</v>
      </c>
      <c r="I50" s="13" t="n">
        <v>4</v>
      </c>
      <c r="J50" s="12" t="s">
        <v>686</v>
      </c>
      <c r="K50" s="12" t="s">
        <v>687</v>
      </c>
      <c r="L50" s="12" t="s">
        <v>687</v>
      </c>
      <c r="M50" s="12" t="s">
        <v>687</v>
      </c>
      <c r="N50" s="12" t="s">
        <v>687</v>
      </c>
      <c r="O50" s="12" t="s">
        <v>687</v>
      </c>
      <c r="P50" s="12"/>
      <c r="Q50" s="12"/>
      <c r="R50" s="2"/>
      <c r="S50" s="2"/>
      <c r="T50" s="2"/>
      <c r="U50" s="2"/>
      <c r="V50" s="2"/>
      <c r="W50" s="2"/>
      <c r="X50" s="2"/>
      <c r="Y50" s="2"/>
      <c r="Z50" s="2"/>
    </row>
    <row r="51" customFormat="false" ht="42" hidden="false" customHeight="true" outlineLevel="0" collapsed="false">
      <c r="A51" s="12" t="s">
        <v>570</v>
      </c>
      <c r="B51" s="12" t="s">
        <v>570</v>
      </c>
      <c r="C51" s="12" t="s">
        <v>714</v>
      </c>
      <c r="D51" s="12" t="s">
        <v>55</v>
      </c>
      <c r="E51" s="12" t="s">
        <v>715</v>
      </c>
      <c r="F51" s="13" t="n">
        <v>12</v>
      </c>
      <c r="G51" s="13" t="n">
        <v>4</v>
      </c>
      <c r="H51" s="13" t="n">
        <f aca="false">(F51*100)+G51</f>
        <v>1204</v>
      </c>
      <c r="I51" s="13" t="n">
        <v>4</v>
      </c>
      <c r="J51" s="12" t="s">
        <v>686</v>
      </c>
      <c r="K51" s="12" t="s">
        <v>687</v>
      </c>
      <c r="L51" s="12" t="s">
        <v>687</v>
      </c>
      <c r="M51" s="12" t="s">
        <v>687</v>
      </c>
      <c r="N51" s="12" t="s">
        <v>687</v>
      </c>
      <c r="O51" s="12" t="s">
        <v>687</v>
      </c>
      <c r="P51" s="12"/>
      <c r="Q51" s="12"/>
      <c r="R51" s="2"/>
      <c r="S51" s="2"/>
      <c r="T51" s="2"/>
      <c r="U51" s="2"/>
      <c r="V51" s="2"/>
      <c r="W51" s="2"/>
      <c r="X51" s="2"/>
      <c r="Y51" s="2"/>
      <c r="Z51" s="2"/>
    </row>
    <row r="52" customFormat="false" ht="42" hidden="false" customHeight="true" outlineLevel="0" collapsed="false">
      <c r="A52" s="12" t="s">
        <v>581</v>
      </c>
      <c r="B52" s="12" t="s">
        <v>581</v>
      </c>
      <c r="C52" s="12" t="s">
        <v>714</v>
      </c>
      <c r="D52" s="12" t="s">
        <v>55</v>
      </c>
      <c r="E52" s="12" t="s">
        <v>715</v>
      </c>
      <c r="F52" s="13" t="n">
        <v>12</v>
      </c>
      <c r="G52" s="13" t="n">
        <v>5</v>
      </c>
      <c r="H52" s="13" t="n">
        <f aca="false">(F52*100)+G52</f>
        <v>1205</v>
      </c>
      <c r="I52" s="13" t="n">
        <v>4</v>
      </c>
      <c r="J52" s="12" t="s">
        <v>686</v>
      </c>
      <c r="K52" s="12" t="s">
        <v>687</v>
      </c>
      <c r="L52" s="12" t="s">
        <v>687</v>
      </c>
      <c r="M52" s="12" t="s">
        <v>687</v>
      </c>
      <c r="N52" s="12" t="s">
        <v>687</v>
      </c>
      <c r="O52" s="12" t="s">
        <v>687</v>
      </c>
      <c r="P52" s="12"/>
      <c r="Q52" s="12"/>
      <c r="R52" s="2"/>
      <c r="S52" s="2"/>
      <c r="T52" s="2"/>
      <c r="U52" s="2"/>
      <c r="V52" s="2"/>
      <c r="W52" s="2"/>
      <c r="X52" s="2"/>
      <c r="Y52" s="2"/>
      <c r="Z52" s="2"/>
    </row>
    <row r="53" customFormat="false" ht="42" hidden="false" customHeight="true" outlineLevel="0" collapsed="false">
      <c r="A53" s="12" t="s">
        <v>590</v>
      </c>
      <c r="B53" s="12" t="s">
        <v>590</v>
      </c>
      <c r="C53" s="12" t="s">
        <v>714</v>
      </c>
      <c r="D53" s="12" t="s">
        <v>55</v>
      </c>
      <c r="E53" s="12" t="s">
        <v>715</v>
      </c>
      <c r="F53" s="13" t="n">
        <v>12</v>
      </c>
      <c r="G53" s="13" t="n">
        <v>6</v>
      </c>
      <c r="H53" s="13" t="n">
        <f aca="false">(F53*100)+G53</f>
        <v>1206</v>
      </c>
      <c r="I53" s="13" t="n">
        <v>4</v>
      </c>
      <c r="J53" s="12" t="s">
        <v>686</v>
      </c>
      <c r="K53" s="12" t="s">
        <v>687</v>
      </c>
      <c r="L53" s="12" t="s">
        <v>687</v>
      </c>
      <c r="M53" s="12" t="s">
        <v>687</v>
      </c>
      <c r="N53" s="12" t="s">
        <v>687</v>
      </c>
      <c r="O53" s="12" t="s">
        <v>687</v>
      </c>
      <c r="P53" s="12"/>
      <c r="Q53" s="12"/>
      <c r="R53" s="2"/>
      <c r="S53" s="2"/>
      <c r="T53" s="2"/>
      <c r="U53" s="2"/>
      <c r="V53" s="2"/>
      <c r="W53" s="2"/>
      <c r="X53" s="2"/>
      <c r="Y53" s="2"/>
      <c r="Z53" s="2"/>
    </row>
    <row r="54" customFormat="false" ht="42" hidden="false" customHeight="true" outlineLevel="0" collapsed="false">
      <c r="A54" s="12" t="s">
        <v>601</v>
      </c>
      <c r="B54" s="12" t="s">
        <v>601</v>
      </c>
      <c r="C54" s="12" t="s">
        <v>714</v>
      </c>
      <c r="D54" s="12" t="s">
        <v>55</v>
      </c>
      <c r="E54" s="12" t="s">
        <v>715</v>
      </c>
      <c r="F54" s="13" t="n">
        <v>12</v>
      </c>
      <c r="G54" s="13" t="n">
        <v>7</v>
      </c>
      <c r="H54" s="13" t="n">
        <f aca="false">(F54*100)+G54</f>
        <v>1207</v>
      </c>
      <c r="I54" s="13" t="n">
        <v>4</v>
      </c>
      <c r="J54" s="12" t="s">
        <v>686</v>
      </c>
      <c r="K54" s="12" t="s">
        <v>686</v>
      </c>
      <c r="L54" s="12" t="s">
        <v>686</v>
      </c>
      <c r="M54" s="12" t="s">
        <v>687</v>
      </c>
      <c r="N54" s="12" t="s">
        <v>687</v>
      </c>
      <c r="O54" s="12" t="s">
        <v>687</v>
      </c>
      <c r="P54" s="12" t="s">
        <v>717</v>
      </c>
      <c r="Q54" s="12"/>
      <c r="R54" s="2"/>
      <c r="S54" s="2"/>
      <c r="T54" s="2"/>
      <c r="U54" s="2"/>
      <c r="V54" s="2"/>
      <c r="W54" s="2"/>
      <c r="X54" s="2"/>
      <c r="Y54" s="2"/>
      <c r="Z54" s="2"/>
    </row>
    <row r="55" customFormat="false" ht="42" hidden="false" customHeight="true" outlineLevel="0" collapsed="false">
      <c r="A55" s="12" t="s">
        <v>612</v>
      </c>
      <c r="B55" s="12" t="s">
        <v>612</v>
      </c>
      <c r="C55" s="12" t="s">
        <v>718</v>
      </c>
      <c r="D55" s="12" t="s">
        <v>56</v>
      </c>
      <c r="E55" s="12" t="s">
        <v>719</v>
      </c>
      <c r="F55" s="13" t="n">
        <v>13</v>
      </c>
      <c r="G55" s="13" t="n">
        <v>1</v>
      </c>
      <c r="H55" s="13" t="n">
        <f aca="false">(F55*100)+G55</f>
        <v>1301</v>
      </c>
      <c r="I55" s="13" t="n">
        <v>4</v>
      </c>
      <c r="J55" s="12" t="s">
        <v>686</v>
      </c>
      <c r="K55" s="12" t="s">
        <v>687</v>
      </c>
      <c r="L55" s="12" t="s">
        <v>687</v>
      </c>
      <c r="M55" s="12" t="s">
        <v>687</v>
      </c>
      <c r="N55" s="12" t="s">
        <v>687</v>
      </c>
      <c r="O55" s="12" t="s">
        <v>687</v>
      </c>
      <c r="P55" s="12"/>
      <c r="Q55" s="12"/>
      <c r="R55" s="2"/>
      <c r="S55" s="2"/>
      <c r="T55" s="2"/>
      <c r="U55" s="2"/>
      <c r="V55" s="2"/>
      <c r="W55" s="2"/>
      <c r="X55" s="2"/>
      <c r="Y55" s="2"/>
      <c r="Z55" s="2"/>
    </row>
    <row r="56" customFormat="false" ht="42" hidden="false" customHeight="true" outlineLevel="0" collapsed="false">
      <c r="A56" s="12" t="s">
        <v>623</v>
      </c>
      <c r="B56" s="12" t="s">
        <v>623</v>
      </c>
      <c r="C56" s="12" t="s">
        <v>718</v>
      </c>
      <c r="D56" s="12" t="s">
        <v>56</v>
      </c>
      <c r="E56" s="12" t="s">
        <v>719</v>
      </c>
      <c r="F56" s="13" t="n">
        <v>13</v>
      </c>
      <c r="G56" s="13" t="n">
        <v>2</v>
      </c>
      <c r="H56" s="13" t="n">
        <f aca="false">(F56*100)+G56</f>
        <v>1302</v>
      </c>
      <c r="I56" s="13" t="n">
        <v>4</v>
      </c>
      <c r="J56" s="12" t="s">
        <v>686</v>
      </c>
      <c r="K56" s="12" t="s">
        <v>687</v>
      </c>
      <c r="L56" s="12" t="s">
        <v>687</v>
      </c>
      <c r="M56" s="12" t="s">
        <v>687</v>
      </c>
      <c r="N56" s="12" t="s">
        <v>687</v>
      </c>
      <c r="O56" s="12" t="s">
        <v>687</v>
      </c>
      <c r="P56" s="12"/>
      <c r="Q56" s="12"/>
      <c r="R56" s="2"/>
      <c r="S56" s="2"/>
      <c r="T56" s="2"/>
      <c r="U56" s="2"/>
      <c r="V56" s="2"/>
      <c r="W56" s="2"/>
      <c r="X56" s="2"/>
      <c r="Y56" s="2"/>
      <c r="Z56" s="2"/>
    </row>
    <row r="57" customFormat="false" ht="42" hidden="false" customHeight="true" outlineLevel="0" collapsed="false">
      <c r="A57" s="12" t="s">
        <v>634</v>
      </c>
      <c r="B57" s="12" t="s">
        <v>634</v>
      </c>
      <c r="C57" s="12" t="s">
        <v>718</v>
      </c>
      <c r="D57" s="12" t="s">
        <v>56</v>
      </c>
      <c r="E57" s="12" t="s">
        <v>719</v>
      </c>
      <c r="F57" s="13" t="n">
        <v>13</v>
      </c>
      <c r="G57" s="13" t="n">
        <v>3</v>
      </c>
      <c r="H57" s="13" t="n">
        <f aca="false">(F57*100)+G57</f>
        <v>1303</v>
      </c>
      <c r="I57" s="13" t="n">
        <v>4</v>
      </c>
      <c r="J57" s="12" t="s">
        <v>686</v>
      </c>
      <c r="K57" s="12" t="s">
        <v>686</v>
      </c>
      <c r="L57" s="12" t="s">
        <v>686</v>
      </c>
      <c r="M57" s="12" t="s">
        <v>687</v>
      </c>
      <c r="N57" s="12" t="s">
        <v>687</v>
      </c>
      <c r="O57" s="12" t="s">
        <v>687</v>
      </c>
      <c r="P57" s="12" t="s">
        <v>720</v>
      </c>
      <c r="Q57" s="12"/>
      <c r="R57" s="2"/>
      <c r="S57" s="2"/>
      <c r="T57" s="2"/>
      <c r="U57" s="2"/>
      <c r="V57" s="2"/>
      <c r="W57" s="2"/>
      <c r="X57" s="2"/>
      <c r="Y57" s="2"/>
      <c r="Z57" s="2"/>
    </row>
    <row r="58" customFormat="false" ht="42" hidden="false" customHeight="true" outlineLevel="0" collapsed="false">
      <c r="A58" s="12" t="s">
        <v>645</v>
      </c>
      <c r="B58" s="12" t="s">
        <v>645</v>
      </c>
      <c r="C58" s="12" t="s">
        <v>718</v>
      </c>
      <c r="D58" s="12" t="s">
        <v>56</v>
      </c>
      <c r="E58" s="12" t="s">
        <v>719</v>
      </c>
      <c r="F58" s="13" t="n">
        <v>13</v>
      </c>
      <c r="G58" s="13" t="n">
        <v>4</v>
      </c>
      <c r="H58" s="13" t="n">
        <f aca="false">(F58*100)+G58</f>
        <v>1304</v>
      </c>
      <c r="I58" s="13" t="n">
        <v>4</v>
      </c>
      <c r="J58" s="12" t="s">
        <v>686</v>
      </c>
      <c r="K58" s="12" t="s">
        <v>687</v>
      </c>
      <c r="L58" s="12" t="s">
        <v>686</v>
      </c>
      <c r="M58" s="12" t="s">
        <v>687</v>
      </c>
      <c r="N58" s="12" t="s">
        <v>687</v>
      </c>
      <c r="O58" s="12" t="s">
        <v>687</v>
      </c>
      <c r="P58" s="12"/>
      <c r="Q58" s="12"/>
      <c r="R58" s="2"/>
      <c r="S58" s="2"/>
      <c r="T58" s="2"/>
      <c r="U58" s="2"/>
      <c r="V58" s="2"/>
      <c r="W58" s="2"/>
      <c r="X58" s="2"/>
      <c r="Y58" s="2"/>
      <c r="Z58" s="2"/>
    </row>
    <row r="59" customFormat="false" ht="42" hidden="false" customHeight="true" outlineLevel="0" collapsed="false">
      <c r="A59" s="12" t="s">
        <v>656</v>
      </c>
      <c r="B59" s="12" t="s">
        <v>656</v>
      </c>
      <c r="C59" s="12" t="s">
        <v>718</v>
      </c>
      <c r="D59" s="12" t="s">
        <v>56</v>
      </c>
      <c r="E59" s="12" t="s">
        <v>719</v>
      </c>
      <c r="F59" s="13" t="n">
        <v>13</v>
      </c>
      <c r="G59" s="13" t="n">
        <v>5</v>
      </c>
      <c r="H59" s="13" t="n">
        <f aca="false">(F59*100)+G59</f>
        <v>1305</v>
      </c>
      <c r="I59" s="13" t="n">
        <v>4</v>
      </c>
      <c r="J59" s="12" t="s">
        <v>686</v>
      </c>
      <c r="K59" s="12" t="s">
        <v>686</v>
      </c>
      <c r="L59" s="12" t="s">
        <v>686</v>
      </c>
      <c r="M59" s="12" t="s">
        <v>687</v>
      </c>
      <c r="N59" s="12" t="s">
        <v>687</v>
      </c>
      <c r="O59" s="12" t="s">
        <v>687</v>
      </c>
      <c r="P59" s="12" t="s">
        <v>721</v>
      </c>
      <c r="Q59" s="12"/>
      <c r="R59" s="2"/>
      <c r="S59" s="2"/>
      <c r="T59" s="2"/>
      <c r="U59" s="2"/>
      <c r="V59" s="2"/>
      <c r="W59" s="2"/>
      <c r="X59" s="2"/>
      <c r="Y59" s="2"/>
      <c r="Z59" s="2"/>
    </row>
    <row r="60" customFormat="false" ht="14.25" hidden="false" customHeight="fals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4.25" hidden="false" customHeight="fals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4.25" hidden="false" customHeight="fals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4.25" hidden="false" customHeight="fals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4.25" hidden="false" customHeight="fals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4.25" hidden="false" customHeight="fals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4.25" hidden="false" customHeight="fals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4.25" hidden="false" customHeight="fals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4.25" hidden="false" customHeight="fals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4.25" hidden="false" customHeight="fals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4.25" hidden="false" customHeight="fals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4.25" hidden="false" customHeight="fals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4.25" hidden="false" customHeight="fals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4.25" hidden="false" customHeight="fals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4.25" hidden="false" customHeight="fals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4.25" hidden="false" customHeight="fals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4.25" hidden="false" customHeight="fals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4.25" hidden="false" customHeight="fals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4.25" hidden="false" customHeight="fals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4.25" hidden="false" customHeight="fals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4.25" hidden="false" customHeight="fals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4.25" hidden="false" customHeight="fals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4.25" hidden="false" customHeight="fals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4.25" hidden="false" customHeight="fals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4.25" hidden="false" customHeight="fals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4.25" hidden="false" customHeight="fals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4.25" hidden="false" customHeight="fals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4.25" hidden="false" customHeight="fals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4.25" hidden="false" customHeight="fals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4.25" hidden="false" customHeight="fals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4.25" hidden="false" customHeight="fals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4.25" hidden="false" customHeight="fals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4.25" hidden="false" customHeight="fals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4.25" hidden="false" customHeight="fals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4.25" hidden="false" customHeight="fals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4.25" hidden="false" customHeight="fals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4.25" hidden="false" customHeight="fals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4.25" hidden="false" customHeight="fals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4.25" hidden="false" customHeight="fals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4.25" hidden="false" customHeight="fals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4.25" hidden="false" customHeight="fals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4.25" hidden="false" customHeight="fals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4.25" hidden="false" customHeight="fals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4.25" hidden="false" customHeight="fals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4.25" hidden="false" customHeight="fals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4.25" hidden="false" customHeight="fals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4.25" hidden="false" customHeight="fals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4.25" hidden="false" customHeight="fals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4.25" hidden="false" customHeight="fals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4.25" hidden="false" customHeight="fals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4.25" hidden="false" customHeight="fals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4.25" hidden="false" customHeight="fals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4.25" hidden="false" customHeight="fals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4.25" hidden="false" customHeight="fals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4.25" hidden="false" customHeight="fals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4.25" hidden="false" customHeight="fals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4.25" hidden="false" customHeight="fals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4.25" hidden="false" customHeight="fals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4.25" hidden="false" customHeight="fals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4.25" hidden="false" customHeight="fals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4.25" hidden="false" customHeight="fals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4.25" hidden="false" customHeight="fals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4.25" hidden="false" customHeight="fals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4.25" hidden="false" customHeight="fals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4.25" hidden="false" customHeight="fals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4.25" hidden="false" customHeight="fals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4.25" hidden="false" customHeight="fals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4.25" hidden="false" customHeight="fals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4.25" hidden="false" customHeight="fals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4.25" hidden="false" customHeight="fals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4.25" hidden="false" customHeight="fals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4.25" hidden="false" customHeight="fals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4.25" hidden="false" customHeight="fals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4.25" hidden="false" customHeight="fals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4.25" hidden="false" customHeight="fals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4.25" hidden="false" customHeight="fals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4.25" hidden="false" customHeight="fals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4.25" hidden="false" customHeight="fals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4.25" hidden="false" customHeight="fals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4.25" hidden="false" customHeight="fals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4.25" hidden="false" customHeight="fals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4.25" hidden="false" customHeight="fals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4.25" hidden="false" customHeight="fals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4.25" hidden="false" customHeight="fals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4.25" hidden="false" customHeight="fals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4.25" hidden="false" customHeight="fals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4.25" hidden="false" customHeight="fals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4.25" hidden="false" customHeight="fals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4.25" hidden="false" customHeight="fals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4.25" hidden="false" customHeight="fals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4.25" hidden="false" customHeight="fals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4.25" hidden="false" customHeight="fals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4.25" hidden="false" customHeight="fals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4.25" hidden="false" customHeight="fals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4.25" hidden="false" customHeight="fals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4.25" hidden="false" customHeight="fals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4.25" hidden="false" customHeight="fals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4.25" hidden="false" customHeight="fals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4.25" hidden="false" customHeight="fals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4.25" hidden="false" customHeight="fals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4.25" hidden="false" customHeight="fals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4.25" hidden="false" customHeight="fals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4.25" hidden="false" customHeight="fals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4.25" hidden="false" customHeight="fals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4.25" hidden="false" customHeight="fals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4.25" hidden="false" customHeight="fals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4.25" hidden="false" customHeight="fals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4.25" hidden="false" customHeight="fals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4.25" hidden="false" customHeight="fals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4.25" hidden="false" customHeight="fals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4.25" hidden="false" customHeight="fals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4.25" hidden="false" customHeight="fals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4.25" hidden="false" customHeight="fals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4.25" hidden="false" customHeight="fals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4.25" hidden="false" customHeight="fals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4.25" hidden="false" customHeight="fals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4.25" hidden="false" customHeight="fals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4.25" hidden="false" customHeight="fals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4.25" hidden="false" customHeight="fals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4.25" hidden="false" customHeight="fals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4.25" hidden="false" customHeight="fals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4.25" hidden="false" customHeight="fals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4.25" hidden="false" customHeight="fals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4.25" hidden="false" customHeight="fals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4.25" hidden="false" customHeight="fals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4.25" hidden="false" customHeight="fals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4.25" hidden="false" customHeight="fals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4.25" hidden="false" customHeight="fals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4.25" hidden="false" customHeight="fals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4.25" hidden="false" customHeight="fals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4.25" hidden="false" customHeight="fals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4.25" hidden="false" customHeight="fals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4.25" hidden="false" customHeight="fals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4.25" hidden="false" customHeight="fals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4.25" hidden="false" customHeight="fals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4.25" hidden="false" customHeight="fals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4.25" hidden="false" customHeight="fals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4.25" hidden="false" customHeight="fals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4.25" hidden="false" customHeight="fals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4.25" hidden="false" customHeight="fals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4.25" hidden="false" customHeight="fals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sheetData>
  <autoFilter ref="A4:Q59"/>
  <mergeCells count="2">
    <mergeCell ref="A1:Q1"/>
    <mergeCell ref="A2:Q2"/>
  </mergeCells>
  <conditionalFormatting sqref="J5:J59">
    <cfRule type="expression" priority="2" aboveAverage="0" equalAverage="0" bottom="0" percent="0" rank="0" text="" dxfId="8">
      <formula>J5="No"</formula>
    </cfRule>
  </conditionalFormatting>
  <conditionalFormatting sqref="K5:L59">
    <cfRule type="expression" priority="3" aboveAverage="0" equalAverage="0" bottom="0" percent="0" rank="0" text="" dxfId="9">
      <formula>K5="Sí"</formula>
    </cfRule>
  </conditionalFormatting>
  <dataValidations count="2">
    <dataValidation allowBlank="true" errorStyle="stop" operator="between" showDropDown="false" showErrorMessage="false" showInputMessage="false" sqref="J5:O59" type="list">
      <formula1>Lista_SiNo</formula1>
      <formula2>0</formula2>
    </dataValidation>
    <dataValidation allowBlank="true" errorStyle="stop" operator="between" showDropDown="false" showErrorMessage="false" showInputMessage="false" sqref="E5:E59" type="list">
      <formula1>Lista_Codigos</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36039"/>
    <pageSetUpPr fitToPage="false"/>
  </sheetPr>
  <dimension ref="A1:Z200"/>
  <sheetViews>
    <sheetView showFormulas="false" showGridLines="true" showRowColHeaders="true" showZeros="true" rightToLeft="false" tabSelected="false" showOutlineSymbols="true" defaultGridColor="true" view="normal" topLeftCell="D2" colorId="64" zoomScale="100" zoomScaleNormal="100" zoomScalePageLayoutView="100" workbookViewId="0">
      <selection pane="topLeft" activeCell="A1" activeCellId="0" sqref="A1"/>
    </sheetView>
  </sheetViews>
  <sheetFormatPr defaultColWidth="9.00390625" defaultRowHeight="14.25" zeroHeight="false" outlineLevelRow="0" outlineLevelCol="0"/>
  <cols>
    <col collapsed="false" customWidth="true" hidden="false" outlineLevel="0" max="1" min="1" style="0" width="12"/>
    <col collapsed="false" customWidth="true" hidden="false" outlineLevel="0" max="4" min="3" style="0" width="24"/>
    <col collapsed="false" customWidth="true" hidden="false" outlineLevel="0" max="7" min="5" style="0" width="26"/>
    <col collapsed="false" customWidth="true" hidden="false" outlineLevel="0" max="8" min="8" style="0" width="27"/>
    <col collapsed="false" customWidth="true" hidden="false" outlineLevel="0" max="9" min="9" style="0" width="28"/>
    <col collapsed="false" customWidth="true" hidden="false" outlineLevel="0" max="12" min="10" style="0" width="30"/>
    <col collapsed="false" customWidth="true" hidden="false" outlineLevel="0" max="13" min="13" style="0" width="18"/>
    <col collapsed="false" customWidth="true" hidden="false" outlineLevel="0" max="15" min="14" style="0" width="12"/>
  </cols>
  <sheetData>
    <row r="1" customFormat="false" ht="30" hidden="false" customHeight="true" outlineLevel="0" collapsed="false">
      <c r="A1" s="1" t="s">
        <v>722</v>
      </c>
      <c r="B1" s="1"/>
      <c r="C1" s="1"/>
      <c r="D1" s="1"/>
      <c r="E1" s="1"/>
      <c r="F1" s="1"/>
      <c r="G1" s="1"/>
      <c r="H1" s="1"/>
      <c r="I1" s="1"/>
      <c r="J1" s="1"/>
      <c r="K1" s="1"/>
      <c r="L1" s="1"/>
      <c r="M1" s="1"/>
      <c r="N1" s="1"/>
      <c r="O1" s="1"/>
      <c r="P1" s="2"/>
      <c r="Q1" s="2"/>
      <c r="R1" s="2"/>
      <c r="S1" s="2"/>
      <c r="T1" s="2"/>
      <c r="U1" s="2"/>
      <c r="V1" s="2"/>
      <c r="W1" s="2"/>
      <c r="X1" s="2"/>
      <c r="Y1" s="2"/>
      <c r="Z1" s="2"/>
    </row>
    <row r="2" customFormat="false" ht="30" hidden="false" customHeight="true" outlineLevel="0" collapsed="false">
      <c r="A2" s="3" t="s">
        <v>723</v>
      </c>
      <c r="B2" s="3"/>
      <c r="C2" s="3"/>
      <c r="D2" s="3"/>
      <c r="E2" s="3"/>
      <c r="F2" s="3"/>
      <c r="G2" s="3"/>
      <c r="H2" s="3"/>
      <c r="I2" s="3"/>
      <c r="J2" s="3"/>
      <c r="K2" s="3"/>
      <c r="L2" s="3"/>
      <c r="M2" s="3"/>
      <c r="N2" s="3"/>
      <c r="O2" s="3"/>
      <c r="P2" s="2"/>
      <c r="Q2" s="2"/>
      <c r="R2" s="2"/>
      <c r="S2" s="2"/>
      <c r="T2" s="2"/>
      <c r="U2" s="2"/>
      <c r="V2" s="2"/>
      <c r="W2" s="2"/>
      <c r="X2" s="2"/>
      <c r="Y2" s="2"/>
      <c r="Z2" s="2"/>
    </row>
    <row r="3" customFormat="false" ht="14.25" hidden="false" customHeight="false" outlineLevel="0" collapsed="false">
      <c r="A3" s="2"/>
      <c r="B3" s="2"/>
      <c r="C3" s="2"/>
      <c r="D3" s="2"/>
      <c r="E3" s="2"/>
      <c r="F3" s="2"/>
      <c r="G3" s="2"/>
      <c r="H3" s="2"/>
      <c r="I3" s="2"/>
      <c r="J3" s="2"/>
      <c r="K3" s="2"/>
      <c r="L3" s="2"/>
      <c r="M3" s="2"/>
      <c r="N3" s="2"/>
      <c r="O3" s="2"/>
      <c r="P3" s="2"/>
      <c r="Q3" s="2"/>
      <c r="R3" s="2"/>
      <c r="S3" s="2"/>
      <c r="T3" s="2"/>
      <c r="U3" s="2"/>
      <c r="V3" s="2"/>
      <c r="W3" s="2"/>
      <c r="X3" s="2"/>
      <c r="Y3" s="2"/>
      <c r="Z3" s="2"/>
    </row>
    <row r="4" customFormat="false" ht="36" hidden="false" customHeight="true" outlineLevel="0" collapsed="false">
      <c r="A4" s="4" t="s">
        <v>724</v>
      </c>
      <c r="B4" s="4" t="s">
        <v>34</v>
      </c>
      <c r="C4" s="4" t="s">
        <v>725</v>
      </c>
      <c r="D4" s="4" t="s">
        <v>726</v>
      </c>
      <c r="E4" s="4" t="s">
        <v>727</v>
      </c>
      <c r="F4" s="4" t="s">
        <v>728</v>
      </c>
      <c r="G4" s="4" t="s">
        <v>729</v>
      </c>
      <c r="H4" s="4" t="s">
        <v>730</v>
      </c>
      <c r="I4" s="4" t="s">
        <v>731</v>
      </c>
      <c r="J4" s="4" t="s">
        <v>732</v>
      </c>
      <c r="K4" s="4" t="s">
        <v>733</v>
      </c>
      <c r="L4" s="4" t="s">
        <v>734</v>
      </c>
      <c r="M4" s="4" t="s">
        <v>735</v>
      </c>
      <c r="N4" s="4" t="s">
        <v>675</v>
      </c>
      <c r="O4" s="4" t="s">
        <v>736</v>
      </c>
      <c r="P4" s="2"/>
      <c r="Q4" s="2"/>
      <c r="R4" s="2"/>
      <c r="S4" s="2"/>
      <c r="T4" s="2"/>
      <c r="U4" s="2"/>
      <c r="V4" s="2"/>
      <c r="W4" s="2"/>
      <c r="X4" s="2"/>
      <c r="Y4" s="2"/>
      <c r="Z4" s="2"/>
    </row>
    <row r="5" customFormat="false" ht="42" hidden="false" customHeight="true" outlineLevel="0" collapsed="false">
      <c r="A5" s="12" t="s">
        <v>685</v>
      </c>
      <c r="B5" s="13" t="n">
        <v>1</v>
      </c>
      <c r="C5" s="12" t="s">
        <v>684</v>
      </c>
      <c r="D5" s="12" t="s">
        <v>737</v>
      </c>
      <c r="E5" s="12" t="s">
        <v>738</v>
      </c>
      <c r="F5" s="12" t="s">
        <v>739</v>
      </c>
      <c r="G5" s="12" t="s">
        <v>740</v>
      </c>
      <c r="H5" s="12" t="s">
        <v>38</v>
      </c>
      <c r="I5" s="12" t="s">
        <v>741</v>
      </c>
      <c r="J5" s="12" t="s">
        <v>742</v>
      </c>
      <c r="K5" s="12" t="s">
        <v>743</v>
      </c>
      <c r="L5" s="12" t="s">
        <v>744</v>
      </c>
      <c r="M5" s="13" t="n">
        <f aca="false">COUNTIF(02_Productos_MASTER!$E$5:$E$59,A5)</f>
        <v>4</v>
      </c>
      <c r="N5" s="13" t="n">
        <v>2</v>
      </c>
      <c r="O5" s="12" t="s">
        <v>686</v>
      </c>
      <c r="P5" s="2"/>
      <c r="Q5" s="2"/>
      <c r="R5" s="2"/>
      <c r="S5" s="2"/>
      <c r="T5" s="2"/>
      <c r="U5" s="2"/>
      <c r="V5" s="2"/>
      <c r="W5" s="2"/>
      <c r="X5" s="2"/>
      <c r="Y5" s="2"/>
      <c r="Z5" s="2"/>
    </row>
    <row r="6" customFormat="false" ht="42" hidden="false" customHeight="true" outlineLevel="0" collapsed="false">
      <c r="A6" s="12" t="s">
        <v>691</v>
      </c>
      <c r="B6" s="13" t="n">
        <v>2</v>
      </c>
      <c r="C6" s="12" t="s">
        <v>684</v>
      </c>
      <c r="D6" s="12" t="s">
        <v>737</v>
      </c>
      <c r="E6" s="12" t="s">
        <v>738</v>
      </c>
      <c r="F6" s="12" t="s">
        <v>739</v>
      </c>
      <c r="G6" s="12" t="s">
        <v>740</v>
      </c>
      <c r="H6" s="12" t="s">
        <v>41</v>
      </c>
      <c r="I6" s="12" t="s">
        <v>745</v>
      </c>
      <c r="J6" s="12" t="s">
        <v>746</v>
      </c>
      <c r="K6" s="12" t="s">
        <v>747</v>
      </c>
      <c r="L6" s="12" t="s">
        <v>748</v>
      </c>
      <c r="M6" s="13" t="n">
        <f aca="false">COUNTIF(02_Productos_MASTER!$E$5:$E$59,A6)</f>
        <v>7</v>
      </c>
      <c r="N6" s="13" t="n">
        <v>2</v>
      </c>
      <c r="O6" s="12" t="s">
        <v>686</v>
      </c>
      <c r="P6" s="2"/>
      <c r="Q6" s="2"/>
      <c r="R6" s="2"/>
      <c r="S6" s="2"/>
      <c r="T6" s="2"/>
      <c r="U6" s="2"/>
      <c r="V6" s="2"/>
      <c r="W6" s="2"/>
      <c r="X6" s="2"/>
      <c r="Y6" s="2"/>
      <c r="Z6" s="2"/>
    </row>
    <row r="7" customFormat="false" ht="42" hidden="false" customHeight="true" outlineLevel="0" collapsed="false">
      <c r="A7" s="12" t="s">
        <v>697</v>
      </c>
      <c r="B7" s="13" t="n">
        <v>3</v>
      </c>
      <c r="C7" s="12" t="s">
        <v>696</v>
      </c>
      <c r="D7" s="12" t="s">
        <v>749</v>
      </c>
      <c r="E7" s="12" t="s">
        <v>750</v>
      </c>
      <c r="F7" s="12" t="s">
        <v>751</v>
      </c>
      <c r="G7" s="12" t="s">
        <v>752</v>
      </c>
      <c r="H7" s="12" t="s">
        <v>43</v>
      </c>
      <c r="I7" s="12" t="s">
        <v>753</v>
      </c>
      <c r="J7" s="12" t="s">
        <v>754</v>
      </c>
      <c r="K7" s="12" t="s">
        <v>755</v>
      </c>
      <c r="L7" s="12" t="s">
        <v>756</v>
      </c>
      <c r="M7" s="13" t="n">
        <f aca="false">COUNTIF(02_Productos_MASTER!$E$5:$E$59,A7)</f>
        <v>1</v>
      </c>
      <c r="N7" s="13" t="n">
        <v>2</v>
      </c>
      <c r="O7" s="12" t="s">
        <v>686</v>
      </c>
      <c r="P7" s="2"/>
      <c r="Q7" s="2"/>
      <c r="R7" s="2"/>
      <c r="S7" s="2"/>
      <c r="T7" s="2"/>
      <c r="U7" s="2"/>
      <c r="V7" s="2"/>
      <c r="W7" s="2"/>
      <c r="X7" s="2"/>
      <c r="Y7" s="2"/>
      <c r="Z7" s="2"/>
    </row>
    <row r="8" customFormat="false" ht="42" hidden="false" customHeight="true" outlineLevel="0" collapsed="false">
      <c r="A8" s="12" t="s">
        <v>698</v>
      </c>
      <c r="B8" s="13" t="n">
        <v>4</v>
      </c>
      <c r="C8" s="12" t="s">
        <v>696</v>
      </c>
      <c r="D8" s="12" t="s">
        <v>749</v>
      </c>
      <c r="E8" s="12" t="s">
        <v>750</v>
      </c>
      <c r="F8" s="12" t="s">
        <v>751</v>
      </c>
      <c r="G8" s="12" t="s">
        <v>752</v>
      </c>
      <c r="H8" s="12" t="s">
        <v>45</v>
      </c>
      <c r="I8" s="12" t="s">
        <v>757</v>
      </c>
      <c r="J8" s="12" t="s">
        <v>758</v>
      </c>
      <c r="K8" s="12" t="s">
        <v>759</v>
      </c>
      <c r="L8" s="12" t="s">
        <v>760</v>
      </c>
      <c r="M8" s="13" t="n">
        <f aca="false">COUNTIF(02_Productos_MASTER!$E$5:$E$59,A8)</f>
        <v>3</v>
      </c>
      <c r="N8" s="13" t="n">
        <v>2</v>
      </c>
      <c r="O8" s="12" t="s">
        <v>686</v>
      </c>
      <c r="P8" s="2"/>
      <c r="Q8" s="2"/>
      <c r="R8" s="2"/>
      <c r="S8" s="2"/>
      <c r="T8" s="2"/>
      <c r="U8" s="2"/>
      <c r="V8" s="2"/>
      <c r="W8" s="2"/>
      <c r="X8" s="2"/>
      <c r="Y8" s="2"/>
      <c r="Z8" s="2"/>
    </row>
    <row r="9" customFormat="false" ht="42" hidden="false" customHeight="true" outlineLevel="0" collapsed="false">
      <c r="A9" s="12" t="s">
        <v>699</v>
      </c>
      <c r="B9" s="13" t="n">
        <v>5</v>
      </c>
      <c r="C9" s="12" t="s">
        <v>696</v>
      </c>
      <c r="D9" s="12" t="s">
        <v>749</v>
      </c>
      <c r="E9" s="12" t="s">
        <v>750</v>
      </c>
      <c r="F9" s="12" t="s">
        <v>751</v>
      </c>
      <c r="G9" s="12" t="s">
        <v>752</v>
      </c>
      <c r="H9" s="12" t="s">
        <v>47</v>
      </c>
      <c r="I9" s="12" t="s">
        <v>761</v>
      </c>
      <c r="J9" s="12" t="s">
        <v>762</v>
      </c>
      <c r="K9" s="12" t="s">
        <v>763</v>
      </c>
      <c r="L9" s="12" t="s">
        <v>764</v>
      </c>
      <c r="M9" s="13" t="n">
        <f aca="false">COUNTIF(02_Productos_MASTER!$E$5:$E$59,A9)</f>
        <v>4</v>
      </c>
      <c r="N9" s="13" t="n">
        <v>2</v>
      </c>
      <c r="O9" s="12" t="s">
        <v>686</v>
      </c>
      <c r="P9" s="2"/>
      <c r="Q9" s="2"/>
      <c r="R9" s="2"/>
      <c r="S9" s="2"/>
      <c r="T9" s="2"/>
      <c r="U9" s="2"/>
      <c r="V9" s="2"/>
      <c r="W9" s="2"/>
      <c r="X9" s="2"/>
      <c r="Y9" s="2"/>
      <c r="Z9" s="2"/>
    </row>
    <row r="10" customFormat="false" ht="42" hidden="false" customHeight="true" outlineLevel="0" collapsed="false">
      <c r="A10" s="12" t="s">
        <v>701</v>
      </c>
      <c r="B10" s="13" t="n">
        <v>6</v>
      </c>
      <c r="C10" s="12" t="s">
        <v>696</v>
      </c>
      <c r="D10" s="12" t="s">
        <v>749</v>
      </c>
      <c r="E10" s="12" t="s">
        <v>750</v>
      </c>
      <c r="F10" s="12" t="s">
        <v>751</v>
      </c>
      <c r="G10" s="12" t="s">
        <v>752</v>
      </c>
      <c r="H10" s="12" t="s">
        <v>49</v>
      </c>
      <c r="I10" s="12" t="s">
        <v>765</v>
      </c>
      <c r="J10" s="12" t="s">
        <v>766</v>
      </c>
      <c r="K10" s="12" t="s">
        <v>767</v>
      </c>
      <c r="L10" s="12" t="s">
        <v>768</v>
      </c>
      <c r="M10" s="13" t="n">
        <f aca="false">COUNTIF(02_Productos_MASTER!$E$5:$E$59,A10)</f>
        <v>2</v>
      </c>
      <c r="N10" s="13" t="n">
        <v>2</v>
      </c>
      <c r="O10" s="12" t="s">
        <v>686</v>
      </c>
      <c r="P10" s="2"/>
      <c r="Q10" s="2"/>
      <c r="R10" s="2"/>
      <c r="S10" s="2"/>
      <c r="T10" s="2"/>
      <c r="U10" s="2"/>
      <c r="V10" s="2"/>
      <c r="W10" s="2"/>
      <c r="X10" s="2"/>
      <c r="Y10" s="2"/>
      <c r="Z10" s="2"/>
    </row>
    <row r="11" customFormat="false" ht="42" hidden="false" customHeight="true" outlineLevel="0" collapsed="false">
      <c r="A11" s="12" t="s">
        <v>704</v>
      </c>
      <c r="B11" s="13" t="n">
        <v>7</v>
      </c>
      <c r="C11" s="12" t="s">
        <v>703</v>
      </c>
      <c r="D11" s="12" t="s">
        <v>769</v>
      </c>
      <c r="E11" s="12" t="s">
        <v>770</v>
      </c>
      <c r="F11" s="12" t="s">
        <v>771</v>
      </c>
      <c r="G11" s="12" t="s">
        <v>772</v>
      </c>
      <c r="H11" s="12" t="s">
        <v>50</v>
      </c>
      <c r="I11" s="12" t="s">
        <v>773</v>
      </c>
      <c r="J11" s="12" t="s">
        <v>774</v>
      </c>
      <c r="K11" s="12" t="s">
        <v>775</v>
      </c>
      <c r="L11" s="12" t="s">
        <v>776</v>
      </c>
      <c r="M11" s="13" t="n">
        <f aca="false">COUNTIF(02_Productos_MASTER!$E$5:$E$59,A11)</f>
        <v>7</v>
      </c>
      <c r="N11" s="13" t="n">
        <v>3</v>
      </c>
      <c r="O11" s="12" t="s">
        <v>686</v>
      </c>
      <c r="P11" s="2"/>
      <c r="Q11" s="2"/>
      <c r="R11" s="2"/>
      <c r="S11" s="2"/>
      <c r="T11" s="2"/>
      <c r="U11" s="2"/>
      <c r="V11" s="2"/>
      <c r="W11" s="2"/>
      <c r="X11" s="2"/>
      <c r="Y11" s="2"/>
      <c r="Z11" s="2"/>
    </row>
    <row r="12" customFormat="false" ht="42" hidden="false" customHeight="true" outlineLevel="0" collapsed="false">
      <c r="A12" s="12" t="s">
        <v>705</v>
      </c>
      <c r="B12" s="13" t="n">
        <v>8</v>
      </c>
      <c r="C12" s="12" t="s">
        <v>703</v>
      </c>
      <c r="D12" s="12" t="s">
        <v>769</v>
      </c>
      <c r="E12" s="12" t="s">
        <v>770</v>
      </c>
      <c r="F12" s="12" t="s">
        <v>771</v>
      </c>
      <c r="G12" s="12" t="s">
        <v>772</v>
      </c>
      <c r="H12" s="12" t="s">
        <v>51</v>
      </c>
      <c r="I12" s="12" t="s">
        <v>777</v>
      </c>
      <c r="J12" s="12" t="s">
        <v>778</v>
      </c>
      <c r="K12" s="12" t="s">
        <v>779</v>
      </c>
      <c r="L12" s="12" t="s">
        <v>780</v>
      </c>
      <c r="M12" s="13" t="n">
        <f aca="false">COUNTIF(02_Productos_MASTER!$E$5:$E$59,A12)</f>
        <v>3</v>
      </c>
      <c r="N12" s="13" t="n">
        <v>3</v>
      </c>
      <c r="O12" s="12" t="s">
        <v>686</v>
      </c>
      <c r="P12" s="2"/>
      <c r="Q12" s="2"/>
      <c r="R12" s="2"/>
      <c r="S12" s="2"/>
      <c r="T12" s="2"/>
      <c r="U12" s="2"/>
      <c r="V12" s="2"/>
      <c r="W12" s="2"/>
      <c r="X12" s="2"/>
      <c r="Y12" s="2"/>
      <c r="Z12" s="2"/>
    </row>
    <row r="13" customFormat="false" ht="42" hidden="false" customHeight="true" outlineLevel="0" collapsed="false">
      <c r="A13" s="12" t="s">
        <v>708</v>
      </c>
      <c r="B13" s="13" t="n">
        <v>9</v>
      </c>
      <c r="C13" s="12" t="s">
        <v>707</v>
      </c>
      <c r="D13" s="12" t="s">
        <v>781</v>
      </c>
      <c r="E13" s="12" t="s">
        <v>782</v>
      </c>
      <c r="F13" s="12" t="s">
        <v>783</v>
      </c>
      <c r="G13" s="12" t="s">
        <v>784</v>
      </c>
      <c r="H13" s="12" t="s">
        <v>52</v>
      </c>
      <c r="I13" s="12" t="s">
        <v>785</v>
      </c>
      <c r="J13" s="12" t="s">
        <v>786</v>
      </c>
      <c r="K13" s="12" t="s">
        <v>787</v>
      </c>
      <c r="L13" s="12" t="s">
        <v>788</v>
      </c>
      <c r="M13" s="13" t="n">
        <f aca="false">COUNTIF(02_Productos_MASTER!$E$5:$E$59,A13)</f>
        <v>6</v>
      </c>
      <c r="N13" s="13" t="n">
        <v>3</v>
      </c>
      <c r="O13" s="12" t="s">
        <v>686</v>
      </c>
      <c r="P13" s="2"/>
      <c r="Q13" s="2"/>
      <c r="R13" s="2"/>
      <c r="S13" s="2"/>
      <c r="T13" s="2"/>
      <c r="U13" s="2"/>
      <c r="V13" s="2"/>
      <c r="W13" s="2"/>
      <c r="X13" s="2"/>
      <c r="Y13" s="2"/>
      <c r="Z13" s="2"/>
    </row>
    <row r="14" customFormat="false" ht="42" hidden="false" customHeight="true" outlineLevel="0" collapsed="false">
      <c r="A14" s="12" t="s">
        <v>711</v>
      </c>
      <c r="B14" s="13" t="n">
        <v>10</v>
      </c>
      <c r="C14" s="12" t="s">
        <v>710</v>
      </c>
      <c r="D14" s="12" t="s">
        <v>789</v>
      </c>
      <c r="E14" s="12" t="s">
        <v>790</v>
      </c>
      <c r="F14" s="12" t="s">
        <v>791</v>
      </c>
      <c r="G14" s="12" t="s">
        <v>792</v>
      </c>
      <c r="H14" s="12" t="s">
        <v>53</v>
      </c>
      <c r="I14" s="12" t="s">
        <v>793</v>
      </c>
      <c r="J14" s="12" t="s">
        <v>794</v>
      </c>
      <c r="K14" s="12" t="s">
        <v>795</v>
      </c>
      <c r="L14" s="12" t="s">
        <v>796</v>
      </c>
      <c r="M14" s="13" t="n">
        <f aca="false">COUNTIF(02_Productos_MASTER!$E$5:$E$59,A14)</f>
        <v>2</v>
      </c>
      <c r="N14" s="13" t="n">
        <v>3</v>
      </c>
      <c r="O14" s="12" t="s">
        <v>686</v>
      </c>
      <c r="P14" s="2"/>
      <c r="Q14" s="2"/>
      <c r="R14" s="2"/>
      <c r="S14" s="2"/>
      <c r="T14" s="2"/>
      <c r="U14" s="2"/>
      <c r="V14" s="2"/>
      <c r="W14" s="2"/>
      <c r="X14" s="2"/>
      <c r="Y14" s="2"/>
      <c r="Z14" s="2"/>
    </row>
    <row r="15" customFormat="false" ht="42" hidden="false" customHeight="true" outlineLevel="0" collapsed="false">
      <c r="A15" s="12" t="s">
        <v>712</v>
      </c>
      <c r="B15" s="13" t="n">
        <v>11</v>
      </c>
      <c r="C15" s="12" t="s">
        <v>54</v>
      </c>
      <c r="D15" s="12" t="s">
        <v>797</v>
      </c>
      <c r="E15" s="12" t="s">
        <v>798</v>
      </c>
      <c r="F15" s="12" t="s">
        <v>799</v>
      </c>
      <c r="G15" s="12" t="s">
        <v>800</v>
      </c>
      <c r="H15" s="12" t="s">
        <v>54</v>
      </c>
      <c r="I15" s="12" t="s">
        <v>801</v>
      </c>
      <c r="J15" s="12" t="s">
        <v>802</v>
      </c>
      <c r="K15" s="12" t="s">
        <v>803</v>
      </c>
      <c r="L15" s="12" t="s">
        <v>804</v>
      </c>
      <c r="M15" s="13" t="n">
        <f aca="false">COUNTIF(02_Productos_MASTER!$E$5:$E$59,A15)</f>
        <v>4</v>
      </c>
      <c r="N15" s="13" t="n">
        <v>3</v>
      </c>
      <c r="O15" s="12" t="s">
        <v>686</v>
      </c>
      <c r="P15" s="2"/>
      <c r="Q15" s="2"/>
      <c r="R15" s="2"/>
      <c r="S15" s="2"/>
      <c r="T15" s="2"/>
      <c r="U15" s="2"/>
      <c r="V15" s="2"/>
      <c r="W15" s="2"/>
      <c r="X15" s="2"/>
      <c r="Y15" s="2"/>
      <c r="Z15" s="2"/>
    </row>
    <row r="16" customFormat="false" ht="42" hidden="false" customHeight="true" outlineLevel="0" collapsed="false">
      <c r="A16" s="12" t="s">
        <v>715</v>
      </c>
      <c r="B16" s="13" t="n">
        <v>12</v>
      </c>
      <c r="C16" s="12" t="s">
        <v>714</v>
      </c>
      <c r="D16" s="12" t="s">
        <v>805</v>
      </c>
      <c r="E16" s="12" t="s">
        <v>806</v>
      </c>
      <c r="F16" s="12" t="s">
        <v>807</v>
      </c>
      <c r="G16" s="12" t="s">
        <v>808</v>
      </c>
      <c r="H16" s="12" t="s">
        <v>55</v>
      </c>
      <c r="I16" s="12" t="s">
        <v>809</v>
      </c>
      <c r="J16" s="12" t="s">
        <v>806</v>
      </c>
      <c r="K16" s="12" t="s">
        <v>807</v>
      </c>
      <c r="L16" s="12" t="s">
        <v>810</v>
      </c>
      <c r="M16" s="13" t="n">
        <f aca="false">COUNTIF(02_Productos_MASTER!$E$5:$E$59,A16)</f>
        <v>7</v>
      </c>
      <c r="N16" s="13" t="n">
        <v>4</v>
      </c>
      <c r="O16" s="12" t="s">
        <v>686</v>
      </c>
      <c r="P16" s="2"/>
      <c r="Q16" s="2"/>
      <c r="R16" s="2"/>
      <c r="S16" s="2"/>
      <c r="T16" s="2"/>
      <c r="U16" s="2"/>
      <c r="V16" s="2"/>
      <c r="W16" s="2"/>
      <c r="X16" s="2"/>
      <c r="Y16" s="2"/>
      <c r="Z16" s="2"/>
    </row>
    <row r="17" customFormat="false" ht="42" hidden="false" customHeight="true" outlineLevel="0" collapsed="false">
      <c r="A17" s="12" t="s">
        <v>719</v>
      </c>
      <c r="B17" s="13" t="n">
        <v>13</v>
      </c>
      <c r="C17" s="12" t="s">
        <v>718</v>
      </c>
      <c r="D17" s="12" t="s">
        <v>811</v>
      </c>
      <c r="E17" s="12" t="s">
        <v>812</v>
      </c>
      <c r="F17" s="12" t="s">
        <v>813</v>
      </c>
      <c r="G17" s="12" t="s">
        <v>814</v>
      </c>
      <c r="H17" s="12" t="s">
        <v>56</v>
      </c>
      <c r="I17" s="12" t="s">
        <v>815</v>
      </c>
      <c r="J17" s="12" t="s">
        <v>816</v>
      </c>
      <c r="K17" s="12" t="s">
        <v>817</v>
      </c>
      <c r="L17" s="12" t="s">
        <v>818</v>
      </c>
      <c r="M17" s="13" t="n">
        <f aca="false">COUNTIF(02_Productos_MASTER!$E$5:$E$59,A17)</f>
        <v>5</v>
      </c>
      <c r="N17" s="13" t="n">
        <v>4</v>
      </c>
      <c r="O17" s="12" t="s">
        <v>686</v>
      </c>
      <c r="P17" s="2"/>
      <c r="Q17" s="2"/>
      <c r="R17" s="2"/>
      <c r="S17" s="2"/>
      <c r="T17" s="2"/>
      <c r="U17" s="2"/>
      <c r="V17" s="2"/>
      <c r="W17" s="2"/>
      <c r="X17" s="2"/>
      <c r="Y17" s="2"/>
      <c r="Z17" s="2"/>
    </row>
    <row r="18" customFormat="false" ht="14.25" hidden="false" customHeight="false" outlineLevel="0" collapsed="false">
      <c r="A18" s="2"/>
      <c r="B18" s="2"/>
      <c r="C18" s="2"/>
      <c r="D18" s="2"/>
      <c r="E18" s="2"/>
      <c r="F18" s="2"/>
      <c r="G18" s="2"/>
      <c r="H18" s="2"/>
      <c r="I18" s="2"/>
      <c r="J18" s="2"/>
      <c r="K18" s="2"/>
      <c r="L18" s="2"/>
      <c r="M18" s="2"/>
      <c r="N18" s="2"/>
      <c r="O18" s="2"/>
      <c r="P18" s="2"/>
      <c r="Q18" s="2"/>
      <c r="R18" s="2"/>
      <c r="S18" s="2"/>
      <c r="T18" s="2"/>
      <c r="U18" s="2"/>
      <c r="V18" s="2"/>
      <c r="W18" s="2"/>
      <c r="X18" s="2"/>
      <c r="Y18" s="2"/>
      <c r="Z18" s="2"/>
    </row>
    <row r="19" customFormat="false" ht="14.25" hidden="false" customHeight="false" outlineLevel="0" collapsed="false">
      <c r="A19" s="2"/>
      <c r="B19" s="2"/>
      <c r="C19" s="2"/>
      <c r="D19" s="2"/>
      <c r="E19" s="2"/>
      <c r="F19" s="2"/>
      <c r="G19" s="2"/>
      <c r="H19" s="2"/>
      <c r="I19" s="2"/>
      <c r="J19" s="2"/>
      <c r="K19" s="2"/>
      <c r="L19" s="2"/>
      <c r="M19" s="2"/>
      <c r="N19" s="2"/>
      <c r="O19" s="2"/>
      <c r="P19" s="2"/>
      <c r="Q19" s="2"/>
      <c r="R19" s="2"/>
      <c r="S19" s="2"/>
      <c r="T19" s="2"/>
      <c r="U19" s="2"/>
      <c r="V19" s="2"/>
      <c r="W19" s="2"/>
      <c r="X19" s="2"/>
      <c r="Y19" s="2"/>
      <c r="Z19" s="2"/>
    </row>
    <row r="20" customFormat="false" ht="14.25" hidden="false" customHeight="false" outlineLevel="0" collapsed="false">
      <c r="A20" s="2"/>
      <c r="B20" s="2"/>
      <c r="C20" s="2"/>
      <c r="D20" s="2"/>
      <c r="E20" s="2"/>
      <c r="F20" s="2"/>
      <c r="G20" s="2"/>
      <c r="H20" s="2"/>
      <c r="I20" s="2"/>
      <c r="J20" s="2"/>
      <c r="K20" s="2"/>
      <c r="L20" s="2"/>
      <c r="M20" s="2"/>
      <c r="N20" s="2"/>
      <c r="O20" s="2"/>
      <c r="P20" s="2"/>
      <c r="Q20" s="2"/>
      <c r="R20" s="2"/>
      <c r="S20" s="2"/>
      <c r="T20" s="2"/>
      <c r="U20" s="2"/>
      <c r="V20" s="2"/>
      <c r="W20" s="2"/>
      <c r="X20" s="2"/>
      <c r="Y20" s="2"/>
      <c r="Z20" s="2"/>
    </row>
    <row r="21" customFormat="false" ht="14.25" hidden="false" customHeight="false" outlineLevel="0" collapsed="false">
      <c r="A21" s="2"/>
      <c r="B21" s="2"/>
      <c r="C21" s="2"/>
      <c r="D21" s="2"/>
      <c r="E21" s="2"/>
      <c r="F21" s="2"/>
      <c r="G21" s="2"/>
      <c r="H21" s="2"/>
      <c r="I21" s="2"/>
      <c r="J21" s="2"/>
      <c r="K21" s="2"/>
      <c r="L21" s="2"/>
      <c r="M21" s="2"/>
      <c r="N21" s="2"/>
      <c r="O21" s="2"/>
      <c r="P21" s="2"/>
      <c r="Q21" s="2"/>
      <c r="R21" s="2"/>
      <c r="S21" s="2"/>
      <c r="T21" s="2"/>
      <c r="U21" s="2"/>
      <c r="V21" s="2"/>
      <c r="W21" s="2"/>
      <c r="X21" s="2"/>
      <c r="Y21" s="2"/>
      <c r="Z21" s="2"/>
    </row>
    <row r="22" customFormat="false" ht="14.25" hidden="false" customHeight="false" outlineLevel="0" collapsed="false">
      <c r="A22" s="2"/>
      <c r="B22" s="2"/>
      <c r="C22" s="2"/>
      <c r="D22" s="2"/>
      <c r="E22" s="2"/>
      <c r="F22" s="2"/>
      <c r="G22" s="2"/>
      <c r="H22" s="2"/>
      <c r="I22" s="2"/>
      <c r="J22" s="2"/>
      <c r="K22" s="2"/>
      <c r="L22" s="2"/>
      <c r="M22" s="2"/>
      <c r="N22" s="2"/>
      <c r="O22" s="2"/>
      <c r="P22" s="2"/>
      <c r="Q22" s="2"/>
      <c r="R22" s="2"/>
      <c r="S22" s="2"/>
      <c r="T22" s="2"/>
      <c r="U22" s="2"/>
      <c r="V22" s="2"/>
      <c r="W22" s="2"/>
      <c r="X22" s="2"/>
      <c r="Y22" s="2"/>
      <c r="Z22" s="2"/>
    </row>
    <row r="23" customFormat="false" ht="14.25" hidden="false" customHeight="false" outlineLevel="0" collapsed="false">
      <c r="A23" s="2"/>
      <c r="B23" s="2"/>
      <c r="C23" s="2"/>
      <c r="D23" s="2"/>
      <c r="E23" s="2"/>
      <c r="F23" s="2"/>
      <c r="G23" s="2"/>
      <c r="H23" s="2"/>
      <c r="I23" s="2"/>
      <c r="J23" s="2"/>
      <c r="K23" s="2"/>
      <c r="L23" s="2"/>
      <c r="M23" s="2"/>
      <c r="N23" s="2"/>
      <c r="O23" s="2"/>
      <c r="P23" s="2"/>
      <c r="Q23" s="2"/>
      <c r="R23" s="2"/>
      <c r="S23" s="2"/>
      <c r="T23" s="2"/>
      <c r="U23" s="2"/>
      <c r="V23" s="2"/>
      <c r="W23" s="2"/>
      <c r="X23" s="2"/>
      <c r="Y23" s="2"/>
      <c r="Z23" s="2"/>
    </row>
    <row r="24" customFormat="false" ht="14.25" hidden="false" customHeight="false" outlineLevel="0" collapsed="false">
      <c r="A24" s="2"/>
      <c r="B24" s="2"/>
      <c r="C24" s="2"/>
      <c r="D24" s="2"/>
      <c r="E24" s="2"/>
      <c r="F24" s="2"/>
      <c r="G24" s="2"/>
      <c r="H24" s="2"/>
      <c r="I24" s="2"/>
      <c r="J24" s="2"/>
      <c r="K24" s="2"/>
      <c r="L24" s="2"/>
      <c r="M24" s="2"/>
      <c r="N24" s="2"/>
      <c r="O24" s="2"/>
      <c r="P24" s="2"/>
      <c r="Q24" s="2"/>
      <c r="R24" s="2"/>
      <c r="S24" s="2"/>
      <c r="T24" s="2"/>
      <c r="U24" s="2"/>
      <c r="V24" s="2"/>
      <c r="W24" s="2"/>
      <c r="X24" s="2"/>
      <c r="Y24" s="2"/>
      <c r="Z24" s="2"/>
    </row>
    <row r="25" customFormat="false" ht="14.25" hidden="false" customHeight="false" outlineLevel="0" collapsed="false">
      <c r="A25" s="2"/>
      <c r="B25" s="2"/>
      <c r="C25" s="2"/>
      <c r="D25" s="2"/>
      <c r="E25" s="2"/>
      <c r="F25" s="2"/>
      <c r="G25" s="2"/>
      <c r="H25" s="2"/>
      <c r="I25" s="2"/>
      <c r="J25" s="2"/>
      <c r="K25" s="2"/>
      <c r="L25" s="2"/>
      <c r="M25" s="2"/>
      <c r="N25" s="2"/>
      <c r="O25" s="2"/>
      <c r="P25" s="2"/>
      <c r="Q25" s="2"/>
      <c r="R25" s="2"/>
      <c r="S25" s="2"/>
      <c r="T25" s="2"/>
      <c r="U25" s="2"/>
      <c r="V25" s="2"/>
      <c r="W25" s="2"/>
      <c r="X25" s="2"/>
      <c r="Y25" s="2"/>
      <c r="Z25" s="2"/>
    </row>
    <row r="26" customFormat="false" ht="14.25" hidden="false" customHeight="false" outlineLevel="0" collapsed="false">
      <c r="A26" s="2"/>
      <c r="B26" s="2"/>
      <c r="C26" s="2"/>
      <c r="D26" s="2"/>
      <c r="E26" s="2"/>
      <c r="F26" s="2"/>
      <c r="G26" s="2"/>
      <c r="H26" s="2"/>
      <c r="I26" s="2"/>
      <c r="J26" s="2"/>
      <c r="K26" s="2"/>
      <c r="L26" s="2"/>
      <c r="M26" s="2"/>
      <c r="N26" s="2"/>
      <c r="O26" s="2"/>
      <c r="P26" s="2"/>
      <c r="Q26" s="2"/>
      <c r="R26" s="2"/>
      <c r="S26" s="2"/>
      <c r="T26" s="2"/>
      <c r="U26" s="2"/>
      <c r="V26" s="2"/>
      <c r="W26" s="2"/>
      <c r="X26" s="2"/>
      <c r="Y26" s="2"/>
      <c r="Z26" s="2"/>
    </row>
    <row r="27" customFormat="false" ht="14.25" hidden="false" customHeight="false" outlineLevel="0" collapsed="false">
      <c r="A27" s="2"/>
      <c r="B27" s="2"/>
      <c r="C27" s="2"/>
      <c r="D27" s="2"/>
      <c r="E27" s="2"/>
      <c r="F27" s="2"/>
      <c r="G27" s="2"/>
      <c r="H27" s="2"/>
      <c r="I27" s="2"/>
      <c r="J27" s="2"/>
      <c r="K27" s="2"/>
      <c r="L27" s="2"/>
      <c r="M27" s="2"/>
      <c r="N27" s="2"/>
      <c r="O27" s="2"/>
      <c r="P27" s="2"/>
      <c r="Q27" s="2"/>
      <c r="R27" s="2"/>
      <c r="S27" s="2"/>
      <c r="T27" s="2"/>
      <c r="U27" s="2"/>
      <c r="V27" s="2"/>
      <c r="W27" s="2"/>
      <c r="X27" s="2"/>
      <c r="Y27" s="2"/>
      <c r="Z27" s="2"/>
    </row>
    <row r="28" customFormat="false" ht="14.25" hidden="false" customHeight="false" outlineLevel="0" collapsed="false">
      <c r="A28" s="2"/>
      <c r="B28" s="2"/>
      <c r="C28" s="2"/>
      <c r="D28" s="2"/>
      <c r="E28" s="2"/>
      <c r="F28" s="2"/>
      <c r="G28" s="2"/>
      <c r="H28" s="2"/>
      <c r="I28" s="2"/>
      <c r="J28" s="2"/>
      <c r="K28" s="2"/>
      <c r="L28" s="2"/>
      <c r="M28" s="2"/>
      <c r="N28" s="2"/>
      <c r="O28" s="2"/>
      <c r="P28" s="2"/>
      <c r="Q28" s="2"/>
      <c r="R28" s="2"/>
      <c r="S28" s="2"/>
      <c r="T28" s="2"/>
      <c r="U28" s="2"/>
      <c r="V28" s="2"/>
      <c r="W28" s="2"/>
      <c r="X28" s="2"/>
      <c r="Y28" s="2"/>
      <c r="Z28" s="2"/>
    </row>
    <row r="29" customFormat="false" ht="14.25" hidden="false" customHeight="false" outlineLevel="0" collapsed="false">
      <c r="A29" s="2"/>
      <c r="B29" s="2"/>
      <c r="C29" s="2"/>
      <c r="D29" s="2"/>
      <c r="E29" s="2"/>
      <c r="F29" s="2"/>
      <c r="G29" s="2"/>
      <c r="H29" s="2"/>
      <c r="I29" s="2"/>
      <c r="J29" s="2"/>
      <c r="K29" s="2"/>
      <c r="L29" s="2"/>
      <c r="M29" s="2"/>
      <c r="N29" s="2"/>
      <c r="O29" s="2"/>
      <c r="P29" s="2"/>
      <c r="Q29" s="2"/>
      <c r="R29" s="2"/>
      <c r="S29" s="2"/>
      <c r="T29" s="2"/>
      <c r="U29" s="2"/>
      <c r="V29" s="2"/>
      <c r="W29" s="2"/>
      <c r="X29" s="2"/>
      <c r="Y29" s="2"/>
      <c r="Z29" s="2"/>
    </row>
    <row r="30" customFormat="false" ht="14.25" hidden="false" customHeight="false" outlineLevel="0" collapsed="false">
      <c r="A30" s="2"/>
      <c r="B30" s="2"/>
      <c r="C30" s="2"/>
      <c r="D30" s="2"/>
      <c r="E30" s="2"/>
      <c r="F30" s="2"/>
      <c r="G30" s="2"/>
      <c r="H30" s="2"/>
      <c r="I30" s="2"/>
      <c r="J30" s="2"/>
      <c r="K30" s="2"/>
      <c r="L30" s="2"/>
      <c r="M30" s="2"/>
      <c r="N30" s="2"/>
      <c r="O30" s="2"/>
      <c r="P30" s="2"/>
      <c r="Q30" s="2"/>
      <c r="R30" s="2"/>
      <c r="S30" s="2"/>
      <c r="T30" s="2"/>
      <c r="U30" s="2"/>
      <c r="V30" s="2"/>
      <c r="W30" s="2"/>
      <c r="X30" s="2"/>
      <c r="Y30" s="2"/>
      <c r="Z30" s="2"/>
    </row>
    <row r="31" customFormat="false" ht="14.25" hidden="false" customHeight="false" outlineLevel="0" collapsed="false">
      <c r="A31" s="2"/>
      <c r="B31" s="2"/>
      <c r="C31" s="2"/>
      <c r="D31" s="2"/>
      <c r="E31" s="2"/>
      <c r="F31" s="2"/>
      <c r="G31" s="2"/>
      <c r="H31" s="2"/>
      <c r="I31" s="2"/>
      <c r="J31" s="2"/>
      <c r="K31" s="2"/>
      <c r="L31" s="2"/>
      <c r="M31" s="2"/>
      <c r="N31" s="2"/>
      <c r="O31" s="2"/>
      <c r="P31" s="2"/>
      <c r="Q31" s="2"/>
      <c r="R31" s="2"/>
      <c r="S31" s="2"/>
      <c r="T31" s="2"/>
      <c r="U31" s="2"/>
      <c r="V31" s="2"/>
      <c r="W31" s="2"/>
      <c r="X31" s="2"/>
      <c r="Y31" s="2"/>
      <c r="Z31" s="2"/>
    </row>
    <row r="32" customFormat="false" ht="14.25" hidden="false" customHeight="false" outlineLevel="0" collapsed="false">
      <c r="A32" s="2"/>
      <c r="B32" s="2"/>
      <c r="C32" s="2"/>
      <c r="D32" s="2"/>
      <c r="E32" s="2"/>
      <c r="F32" s="2"/>
      <c r="G32" s="2"/>
      <c r="H32" s="2"/>
      <c r="I32" s="2"/>
      <c r="J32" s="2"/>
      <c r="K32" s="2"/>
      <c r="L32" s="2"/>
      <c r="M32" s="2"/>
      <c r="N32" s="2"/>
      <c r="O32" s="2"/>
      <c r="P32" s="2"/>
      <c r="Q32" s="2"/>
      <c r="R32" s="2"/>
      <c r="S32" s="2"/>
      <c r="T32" s="2"/>
      <c r="U32" s="2"/>
      <c r="V32" s="2"/>
      <c r="W32" s="2"/>
      <c r="X32" s="2"/>
      <c r="Y32" s="2"/>
      <c r="Z32" s="2"/>
    </row>
    <row r="33" customFormat="false" ht="14.25" hidden="false" customHeight="false" outlineLevel="0" collapsed="false">
      <c r="A33" s="2"/>
      <c r="B33" s="2"/>
      <c r="C33" s="2"/>
      <c r="D33" s="2"/>
      <c r="E33" s="2"/>
      <c r="F33" s="2"/>
      <c r="G33" s="2"/>
      <c r="H33" s="2"/>
      <c r="I33" s="2"/>
      <c r="J33" s="2"/>
      <c r="K33" s="2"/>
      <c r="L33" s="2"/>
      <c r="M33" s="2"/>
      <c r="N33" s="2"/>
      <c r="O33" s="2"/>
      <c r="P33" s="2"/>
      <c r="Q33" s="2"/>
      <c r="R33" s="2"/>
      <c r="S33" s="2"/>
      <c r="T33" s="2"/>
      <c r="U33" s="2"/>
      <c r="V33" s="2"/>
      <c r="W33" s="2"/>
      <c r="X33" s="2"/>
      <c r="Y33" s="2"/>
      <c r="Z33" s="2"/>
    </row>
    <row r="34" customFormat="false" ht="14.25" hidden="false" customHeight="false" outlineLevel="0" collapsed="false">
      <c r="A34" s="2"/>
      <c r="B34" s="2"/>
      <c r="C34" s="2"/>
      <c r="D34" s="2"/>
      <c r="E34" s="2"/>
      <c r="F34" s="2"/>
      <c r="G34" s="2"/>
      <c r="H34" s="2"/>
      <c r="I34" s="2"/>
      <c r="J34" s="2"/>
      <c r="K34" s="2"/>
      <c r="L34" s="2"/>
      <c r="M34" s="2"/>
      <c r="N34" s="2"/>
      <c r="O34" s="2"/>
      <c r="P34" s="2"/>
      <c r="Q34" s="2"/>
      <c r="R34" s="2"/>
      <c r="S34" s="2"/>
      <c r="T34" s="2"/>
      <c r="U34" s="2"/>
      <c r="V34" s="2"/>
      <c r="W34" s="2"/>
      <c r="X34" s="2"/>
      <c r="Y34" s="2"/>
      <c r="Z34" s="2"/>
    </row>
    <row r="35" customFormat="false" ht="14.25" hidden="false" customHeight="false" outlineLevel="0" collapsed="false">
      <c r="A35" s="2"/>
      <c r="B35" s="2"/>
      <c r="C35" s="2"/>
      <c r="D35" s="2"/>
      <c r="E35" s="2"/>
      <c r="F35" s="2"/>
      <c r="G35" s="2"/>
      <c r="H35" s="2"/>
      <c r="I35" s="2"/>
      <c r="J35" s="2"/>
      <c r="K35" s="2"/>
      <c r="L35" s="2"/>
      <c r="M35" s="2"/>
      <c r="N35" s="2"/>
      <c r="O35" s="2"/>
      <c r="P35" s="2"/>
      <c r="Q35" s="2"/>
      <c r="R35" s="2"/>
      <c r="S35" s="2"/>
      <c r="T35" s="2"/>
      <c r="U35" s="2"/>
      <c r="V35" s="2"/>
      <c r="W35" s="2"/>
      <c r="X35" s="2"/>
      <c r="Y35" s="2"/>
      <c r="Z35" s="2"/>
    </row>
    <row r="36" customFormat="false" ht="14.25" hidden="false" customHeight="false" outlineLevel="0" collapsed="false">
      <c r="A36" s="2"/>
      <c r="B36" s="2"/>
      <c r="C36" s="2"/>
      <c r="D36" s="2"/>
      <c r="E36" s="2"/>
      <c r="F36" s="2"/>
      <c r="G36" s="2"/>
      <c r="H36" s="2"/>
      <c r="I36" s="2"/>
      <c r="J36" s="2"/>
      <c r="K36" s="2"/>
      <c r="L36" s="2"/>
      <c r="M36" s="2"/>
      <c r="N36" s="2"/>
      <c r="O36" s="2"/>
      <c r="P36" s="2"/>
      <c r="Q36" s="2"/>
      <c r="R36" s="2"/>
      <c r="S36" s="2"/>
      <c r="T36" s="2"/>
      <c r="U36" s="2"/>
      <c r="V36" s="2"/>
      <c r="W36" s="2"/>
      <c r="X36" s="2"/>
      <c r="Y36" s="2"/>
      <c r="Z36" s="2"/>
    </row>
    <row r="37" customFormat="false" ht="14.25" hidden="false" customHeight="fals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row>
    <row r="38" customFormat="false" ht="14.25" hidden="false" customHeight="false" outlineLevel="0" collapsed="false">
      <c r="A38" s="2"/>
      <c r="B38" s="2"/>
      <c r="C38" s="2"/>
      <c r="D38" s="2"/>
      <c r="E38" s="2"/>
      <c r="F38" s="2"/>
      <c r="G38" s="2"/>
      <c r="H38" s="2"/>
      <c r="I38" s="2"/>
      <c r="J38" s="2"/>
      <c r="K38" s="2"/>
      <c r="L38" s="2"/>
      <c r="M38" s="2"/>
      <c r="N38" s="2"/>
      <c r="O38" s="2"/>
      <c r="P38" s="2"/>
      <c r="Q38" s="2"/>
      <c r="R38" s="2"/>
      <c r="S38" s="2"/>
      <c r="T38" s="2"/>
      <c r="U38" s="2"/>
      <c r="V38" s="2"/>
      <c r="W38" s="2"/>
      <c r="X38" s="2"/>
      <c r="Y38" s="2"/>
      <c r="Z38" s="2"/>
    </row>
    <row r="39" customFormat="false" ht="14.25" hidden="false" customHeight="false" outlineLevel="0" collapsed="false">
      <c r="A39" s="2"/>
      <c r="B39" s="2"/>
      <c r="C39" s="2"/>
      <c r="D39" s="2"/>
      <c r="E39" s="2"/>
      <c r="F39" s="2"/>
      <c r="G39" s="2"/>
      <c r="H39" s="2"/>
      <c r="I39" s="2"/>
      <c r="J39" s="2"/>
      <c r="K39" s="2"/>
      <c r="L39" s="2"/>
      <c r="M39" s="2"/>
      <c r="N39" s="2"/>
      <c r="O39" s="2"/>
      <c r="P39" s="2"/>
      <c r="Q39" s="2"/>
      <c r="R39" s="2"/>
      <c r="S39" s="2"/>
      <c r="T39" s="2"/>
      <c r="U39" s="2"/>
      <c r="V39" s="2"/>
      <c r="W39" s="2"/>
      <c r="X39" s="2"/>
      <c r="Y39" s="2"/>
      <c r="Z39" s="2"/>
    </row>
    <row r="40" customFormat="false" ht="14.25" hidden="false" customHeight="false" outlineLevel="0" collapsed="false">
      <c r="A40" s="2"/>
      <c r="B40" s="2"/>
      <c r="C40" s="2"/>
      <c r="D40" s="2"/>
      <c r="E40" s="2"/>
      <c r="F40" s="2"/>
      <c r="G40" s="2"/>
      <c r="H40" s="2"/>
      <c r="I40" s="2"/>
      <c r="J40" s="2"/>
      <c r="K40" s="2"/>
      <c r="L40" s="2"/>
      <c r="M40" s="2"/>
      <c r="N40" s="2"/>
      <c r="O40" s="2"/>
      <c r="P40" s="2"/>
      <c r="Q40" s="2"/>
      <c r="R40" s="2"/>
      <c r="S40" s="2"/>
      <c r="T40" s="2"/>
      <c r="U40" s="2"/>
      <c r="V40" s="2"/>
      <c r="W40" s="2"/>
      <c r="X40" s="2"/>
      <c r="Y40" s="2"/>
      <c r="Z40" s="2"/>
    </row>
    <row r="41" customFormat="false" ht="14.25" hidden="false" customHeight="false" outlineLevel="0" collapsed="false">
      <c r="A41" s="2"/>
      <c r="B41" s="2"/>
      <c r="C41" s="2"/>
      <c r="D41" s="2"/>
      <c r="E41" s="2"/>
      <c r="F41" s="2"/>
      <c r="G41" s="2"/>
      <c r="H41" s="2"/>
      <c r="I41" s="2"/>
      <c r="J41" s="2"/>
      <c r="K41" s="2"/>
      <c r="L41" s="2"/>
      <c r="M41" s="2"/>
      <c r="N41" s="2"/>
      <c r="O41" s="2"/>
      <c r="P41" s="2"/>
      <c r="Q41" s="2"/>
      <c r="R41" s="2"/>
      <c r="S41" s="2"/>
      <c r="T41" s="2"/>
      <c r="U41" s="2"/>
      <c r="V41" s="2"/>
      <c r="W41" s="2"/>
      <c r="X41" s="2"/>
      <c r="Y41" s="2"/>
      <c r="Z41" s="2"/>
    </row>
    <row r="42" customFormat="false" ht="14.25" hidden="false" customHeight="fals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row>
    <row r="43" customFormat="false" ht="14.25" hidden="false" customHeight="fals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row>
    <row r="44" customFormat="false" ht="14.25" hidden="false" customHeight="fals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row>
    <row r="45" customFormat="false" ht="14.25" hidden="false" customHeight="fals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row>
    <row r="46" customFormat="false" ht="14.25" hidden="false" customHeight="fals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row>
    <row r="47" customFormat="false" ht="14.25" hidden="false" customHeight="fals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row>
    <row r="48" customFormat="false" ht="14.25" hidden="false" customHeight="fals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row>
    <row r="49" customFormat="false" ht="14.25" hidden="false" customHeight="fals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row>
    <row r="50" customFormat="false" ht="14.25" hidden="false" customHeight="fals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row>
    <row r="51" customFormat="false" ht="14.25" hidden="false" customHeight="fals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row>
    <row r="52" customFormat="false" ht="14.25" hidden="false" customHeight="fals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row>
    <row r="53" customFormat="false" ht="14.25" hidden="false" customHeight="fals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row>
    <row r="54" customFormat="false" ht="14.25" hidden="false" customHeight="fals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row>
    <row r="55" customFormat="false" ht="14.25" hidden="false" customHeight="fals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row>
    <row r="56" customFormat="false" ht="14.25" hidden="false" customHeight="fals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row>
    <row r="57" customFormat="false" ht="14.25" hidden="false" customHeight="fals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row>
    <row r="58" customFormat="false" ht="14.25" hidden="false" customHeight="fals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row>
    <row r="59" customFormat="false" ht="14.25" hidden="false" customHeight="fals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row>
    <row r="60" customFormat="false" ht="14.25" hidden="false" customHeight="fals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4.25" hidden="false" customHeight="fals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4.25" hidden="false" customHeight="fals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4.25" hidden="false" customHeight="fals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4.25" hidden="false" customHeight="fals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4.25" hidden="false" customHeight="fals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4.25" hidden="false" customHeight="fals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4.25" hidden="false" customHeight="fals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4.25" hidden="false" customHeight="fals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4.25" hidden="false" customHeight="fals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4.25" hidden="false" customHeight="fals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4.25" hidden="false" customHeight="fals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4.25" hidden="false" customHeight="fals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4.25" hidden="false" customHeight="fals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4.25" hidden="false" customHeight="fals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4.25" hidden="false" customHeight="fals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4.25" hidden="false" customHeight="fals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4.25" hidden="false" customHeight="fals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4.25" hidden="false" customHeight="fals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4.25" hidden="false" customHeight="fals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4.25" hidden="false" customHeight="fals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4.25" hidden="false" customHeight="fals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4.25" hidden="false" customHeight="fals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4.25" hidden="false" customHeight="fals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4.25" hidden="false" customHeight="fals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4.25" hidden="false" customHeight="fals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4.25" hidden="false" customHeight="fals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4.25" hidden="false" customHeight="fals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4.25" hidden="false" customHeight="fals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4.25" hidden="false" customHeight="fals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4.25" hidden="false" customHeight="fals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4.25" hidden="false" customHeight="fals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4.25" hidden="false" customHeight="fals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4.25" hidden="false" customHeight="fals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4.25" hidden="false" customHeight="fals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4.25" hidden="false" customHeight="fals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4.25" hidden="false" customHeight="fals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4.25" hidden="false" customHeight="fals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4.25" hidden="false" customHeight="fals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4.25" hidden="false" customHeight="fals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4.25" hidden="false" customHeight="fals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4.25" hidden="false" customHeight="fals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4.25" hidden="false" customHeight="fals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4.25" hidden="false" customHeight="fals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4.25" hidden="false" customHeight="fals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4.25" hidden="false" customHeight="fals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4.25" hidden="false" customHeight="fals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4.25" hidden="false" customHeight="fals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4.25" hidden="false" customHeight="fals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4.25" hidden="false" customHeight="fals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4.25" hidden="false" customHeight="fals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4.25" hidden="false" customHeight="fals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4.25" hidden="false" customHeight="fals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4.25" hidden="false" customHeight="fals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4.25" hidden="false" customHeight="fals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4.25" hidden="false" customHeight="fals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4.25" hidden="false" customHeight="fals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4.25" hidden="false" customHeight="fals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4.25" hidden="false" customHeight="fals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4.25" hidden="false" customHeight="fals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4.25" hidden="false" customHeight="fals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4.25" hidden="false" customHeight="fals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4.25" hidden="false" customHeight="fals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4.25" hidden="false" customHeight="fals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4.25" hidden="false" customHeight="fals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4.25" hidden="false" customHeight="fals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4.25" hidden="false" customHeight="fals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4.25" hidden="false" customHeight="fals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4.25" hidden="false" customHeight="fals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4.25" hidden="false" customHeight="fals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4.25" hidden="false" customHeight="fals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4.25" hidden="false" customHeight="fals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4.25" hidden="false" customHeight="fals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4.25" hidden="false" customHeight="fals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4.25" hidden="false" customHeight="fals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4.25" hidden="false" customHeight="fals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4.25" hidden="false" customHeight="fals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4.25" hidden="false" customHeight="fals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4.25" hidden="false" customHeight="fals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4.25" hidden="false" customHeight="fals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4.25" hidden="false" customHeight="fals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4.25" hidden="false" customHeight="fals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4.25" hidden="false" customHeight="fals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4.25" hidden="false" customHeight="fals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4.25" hidden="false" customHeight="fals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4.25" hidden="false" customHeight="fals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4.25" hidden="false" customHeight="fals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4.25" hidden="false" customHeight="fals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4.25" hidden="false" customHeight="fals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4.25" hidden="false" customHeight="fals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4.25" hidden="false" customHeight="fals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4.25" hidden="false" customHeight="fals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4.25" hidden="false" customHeight="fals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4.25" hidden="false" customHeight="fals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4.25" hidden="false" customHeight="fals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4.25" hidden="false" customHeight="fals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4.25" hidden="false" customHeight="fals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4.25" hidden="false" customHeight="fals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4.25" hidden="false" customHeight="fals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4.25" hidden="false" customHeight="fals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4.25" hidden="false" customHeight="fals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4.25" hidden="false" customHeight="fals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4.25" hidden="false" customHeight="fals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4.25" hidden="false" customHeight="fals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4.25" hidden="false" customHeight="fals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4.25" hidden="false" customHeight="fals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4.25" hidden="false" customHeight="fals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4.25" hidden="false" customHeight="fals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4.25" hidden="false" customHeight="fals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4.25" hidden="false" customHeight="fals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4.25" hidden="false" customHeight="fals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4.25" hidden="false" customHeight="fals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4.25" hidden="false" customHeight="fals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4.25" hidden="false" customHeight="fals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4.25" hidden="false" customHeight="fals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4.25" hidden="false" customHeight="fals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4.25" hidden="false" customHeight="fals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4.25" hidden="false" customHeight="fals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4.25" hidden="false" customHeight="fals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4.25" hidden="false" customHeight="fals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4.25" hidden="false" customHeight="fals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4.25" hidden="false" customHeight="fals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4.25" hidden="false" customHeight="fals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4.25" hidden="false" customHeight="fals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4.25" hidden="false" customHeight="fals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4.25" hidden="false" customHeight="fals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4.25" hidden="false" customHeight="fals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4.25" hidden="false" customHeight="fals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4.25" hidden="false" customHeight="fals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4.25" hidden="false" customHeight="fals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4.25" hidden="false" customHeight="fals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4.25" hidden="false" customHeight="fals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4.25" hidden="false" customHeight="fals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4.25" hidden="false" customHeight="fals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4.25" hidden="false" customHeight="fals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4.25" hidden="false" customHeight="fals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4.25" hidden="false" customHeight="fals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4.25" hidden="false" customHeight="fals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4.25" hidden="false" customHeight="fals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4.25" hidden="false" customHeight="fals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4.25" hidden="false" customHeight="fals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sheetData>
  <mergeCells count="2">
    <mergeCell ref="A1:O1"/>
    <mergeCell ref="A2:O2"/>
  </mergeCells>
  <conditionalFormatting sqref="M5:M17">
    <cfRule type="dataBar" priority="2">
      <dataBar showValue="1" minLength="10" maxLength="90">
        <cfvo type="min" val="0"/>
        <cfvo type="max" val="0"/>
        <color rgb="FF4E5A30"/>
      </dataBar>
      <extLst>
        <ext xmlns:x14="http://schemas.microsoft.com/office/spreadsheetml/2009/9/main" uri="{B025F937-C7B1-47D3-B67F-A62EFF666E3E}">
          <x14:id>{45C44456-1F8B-4C54-AB20-DF78FBC75226}</x14:id>
        </ext>
      </extLst>
    </cfRule>
    <cfRule type="dataBar" priority="3">
      <dataBar showValue="1" minLength="10" maxLength="90">
        <cfvo type="min" val="0"/>
        <cfvo type="max" val="0"/>
        <color rgb="FF4E5A30"/>
      </dataBar>
      <extLst>
        <ext xmlns:x14="http://schemas.microsoft.com/office/spreadsheetml/2009/9/main" uri="{B025F937-C7B1-47D3-B67F-A62EFF666E3E}">
          <x14:id>{A0B07A86-C02D-42E2-BEA6-F317602F427C}</x14:id>
        </ext>
      </extLst>
    </cfRule>
  </conditionalFormatting>
  <dataValidations count="1">
    <dataValidation allowBlank="false" errorStyle="stop" operator="between" showDropDown="false" showErrorMessage="false" showInputMessage="false" sqref="O5:O17" type="list">
      <formula1>"Sí,No"</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extLst>
    <ext xmlns:x14="http://schemas.microsoft.com/office/spreadsheetml/2009/9/main" uri="{78C0D931-6437-407d-A8EE-F0AAD7539E65}">
      <x14:conditionalFormattings>
        <x14:conditionalFormatting xmlns:xm="http://schemas.microsoft.com/office/excel/2006/main">
          <x14:cfRule type="dataBar" id="{45C44456-1F8B-4C54-AB20-DF78FBC75226}">
            <x14:dataBar minLength="10" maxLength="90" axisPosition="none" gradient="true">
              <x14:cfvo type="min"/>
              <x14:cfvo type="max"/>
              <x14:negativeFillColor rgb="FF4E5A30"/>
              <x14:axisColor rgb="FF000000"/>
            </x14:dataBar>
          </x14:cfRule>
          <x14:cfRule type="dataBar" id="{A0B07A86-C02D-42E2-BEA6-F317602F427C}">
            <x14:dataBar minLength="10" maxLength="90" axisPosition="none" gradient="true">
              <x14:cfvo type="min"/>
              <x14:cfvo type="max"/>
              <x14:negativeFillColor rgb="FF4E5A30"/>
              <x14:axisColor rgb="FF000000"/>
            </x14:dataBar>
          </x14:cfRule>
          <xm:sqref>M5:M17</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B2F2F"/>
    <pageSetUpPr fitToPage="false"/>
  </sheetPr>
  <dimension ref="A1:Z200"/>
  <sheetViews>
    <sheetView showFormulas="false" showGridLines="true" showRowColHeaders="true" showZeros="true" rightToLeft="false" tabSelected="false" showOutlineSymbols="true" defaultGridColor="true" view="normal" topLeftCell="D2" colorId="64" zoomScale="100" zoomScaleNormal="100" zoomScalePageLayoutView="100" workbookViewId="0">
      <pane xSplit="2" ySplit="4" topLeftCell="C5" activePane="bottomRight" state="frozen"/>
      <selection pane="topLeft" activeCell="D2" activeCellId="0" sqref="D2"/>
      <selection pane="topRight" activeCell="C2" activeCellId="0" sqref="C2"/>
      <selection pane="bottomLeft" activeCell="D5" activeCellId="0" sqref="D5"/>
      <selection pane="bottomRight" activeCell="D5" activeCellId="0" sqref="D5"/>
    </sheetView>
  </sheetViews>
  <sheetFormatPr defaultColWidth="9.00390625" defaultRowHeight="14.2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10"/>
    <col collapsed="false" customWidth="true" hidden="false" outlineLevel="0" max="4" min="4" style="0" width="15"/>
    <col collapsed="false" customWidth="true" hidden="false" outlineLevel="0" max="5" min="5" style="0" width="16"/>
    <col collapsed="false" customWidth="true" hidden="false" outlineLevel="0" max="6" min="6" style="0" width="18"/>
    <col collapsed="false" customWidth="true" hidden="false" outlineLevel="0" max="7" min="7" style="0" width="20"/>
    <col collapsed="false" customWidth="true" hidden="false" outlineLevel="0" max="10" min="8" style="0" width="16"/>
    <col collapsed="false" customWidth="true" hidden="false" outlineLevel="0" max="11" min="11" style="0" width="13"/>
    <col collapsed="false" customWidth="true" hidden="false" outlineLevel="0" max="12" min="12" style="0" width="17"/>
    <col collapsed="false" customWidth="true" hidden="false" outlineLevel="0" max="13" min="13" style="0" width="16"/>
    <col collapsed="false" customWidth="true" hidden="false" outlineLevel="0" max="14" min="14" style="0" width="40"/>
  </cols>
  <sheetData>
    <row r="1" customFormat="false" ht="30" hidden="false" customHeight="true" outlineLevel="0" collapsed="false">
      <c r="A1" s="1" t="s">
        <v>819</v>
      </c>
      <c r="B1" s="1"/>
      <c r="C1" s="1"/>
      <c r="D1" s="1"/>
      <c r="E1" s="1"/>
      <c r="F1" s="1"/>
      <c r="G1" s="1"/>
      <c r="H1" s="1"/>
      <c r="I1" s="1"/>
      <c r="J1" s="1"/>
      <c r="K1" s="1"/>
      <c r="L1" s="1"/>
      <c r="M1" s="1"/>
      <c r="N1" s="1"/>
      <c r="O1" s="2"/>
      <c r="P1" s="2"/>
      <c r="Q1" s="2"/>
      <c r="R1" s="2"/>
      <c r="S1" s="2"/>
      <c r="T1" s="2"/>
      <c r="U1" s="2"/>
      <c r="V1" s="2"/>
      <c r="W1" s="2"/>
      <c r="X1" s="2"/>
      <c r="Y1" s="2"/>
      <c r="Z1" s="2"/>
    </row>
    <row r="2" customFormat="false" ht="30" hidden="false" customHeight="true" outlineLevel="0" collapsed="false">
      <c r="A2" s="3" t="s">
        <v>820</v>
      </c>
      <c r="B2" s="3"/>
      <c r="C2" s="3"/>
      <c r="D2" s="3"/>
      <c r="E2" s="3"/>
      <c r="F2" s="3"/>
      <c r="G2" s="3"/>
      <c r="H2" s="3"/>
      <c r="I2" s="3"/>
      <c r="J2" s="3"/>
      <c r="K2" s="3"/>
      <c r="L2" s="3"/>
      <c r="M2" s="3"/>
      <c r="N2" s="3"/>
      <c r="O2" s="2"/>
      <c r="P2" s="2"/>
      <c r="Q2" s="2"/>
      <c r="R2" s="2"/>
      <c r="S2" s="2"/>
      <c r="T2" s="2"/>
      <c r="U2" s="2"/>
      <c r="V2" s="2"/>
      <c r="W2" s="2"/>
      <c r="X2" s="2"/>
      <c r="Y2" s="2"/>
      <c r="Z2" s="2"/>
    </row>
    <row r="3" customFormat="false" ht="14.25" hidden="false" customHeight="false" outlineLevel="0" collapsed="false">
      <c r="A3" s="2"/>
      <c r="B3" s="2"/>
      <c r="C3" s="2"/>
      <c r="D3" s="2"/>
      <c r="E3" s="2"/>
      <c r="F3" s="2"/>
      <c r="G3" s="2"/>
      <c r="H3" s="2"/>
      <c r="I3" s="2"/>
      <c r="J3" s="2"/>
      <c r="K3" s="2"/>
      <c r="L3" s="2"/>
      <c r="M3" s="2"/>
      <c r="N3" s="2"/>
      <c r="O3" s="2"/>
      <c r="P3" s="2"/>
      <c r="Q3" s="2"/>
      <c r="R3" s="2"/>
      <c r="S3" s="2"/>
      <c r="T3" s="2"/>
      <c r="U3" s="2"/>
      <c r="V3" s="2"/>
      <c r="W3" s="2"/>
      <c r="X3" s="2"/>
      <c r="Y3" s="2"/>
      <c r="Z3" s="2"/>
    </row>
    <row r="4" customFormat="false" ht="36" hidden="false" customHeight="true" outlineLevel="0" collapsed="false">
      <c r="A4" s="11" t="s">
        <v>79</v>
      </c>
      <c r="B4" s="11" t="s">
        <v>821</v>
      </c>
      <c r="C4" s="11" t="s">
        <v>822</v>
      </c>
      <c r="D4" s="11" t="s">
        <v>823</v>
      </c>
      <c r="E4" s="11" t="s">
        <v>824</v>
      </c>
      <c r="F4" s="11" t="s">
        <v>825</v>
      </c>
      <c r="G4" s="11" t="s">
        <v>826</v>
      </c>
      <c r="H4" s="11" t="s">
        <v>827</v>
      </c>
      <c r="I4" s="11" t="s">
        <v>828</v>
      </c>
      <c r="J4" s="11" t="s">
        <v>829</v>
      </c>
      <c r="K4" s="11" t="s">
        <v>830</v>
      </c>
      <c r="L4" s="11" t="s">
        <v>831</v>
      </c>
      <c r="M4" s="11" t="s">
        <v>832</v>
      </c>
      <c r="N4" s="11" t="s">
        <v>683</v>
      </c>
      <c r="O4" s="2"/>
      <c r="P4" s="2"/>
      <c r="Q4" s="2"/>
      <c r="R4" s="2"/>
      <c r="S4" s="2"/>
      <c r="T4" s="2"/>
      <c r="U4" s="2"/>
      <c r="V4" s="2"/>
      <c r="W4" s="2"/>
      <c r="X4" s="2"/>
      <c r="Y4" s="2"/>
      <c r="Z4" s="2"/>
    </row>
    <row r="5" customFormat="false" ht="42" hidden="false" customHeight="true" outlineLevel="0" collapsed="false">
      <c r="A5" s="12" t="s">
        <v>91</v>
      </c>
      <c r="B5" s="12" t="s">
        <v>92</v>
      </c>
      <c r="C5" s="12" t="s">
        <v>833</v>
      </c>
      <c r="D5" s="14"/>
      <c r="E5" s="15"/>
      <c r="F5" s="15"/>
      <c r="G5" s="16" t="str">
        <f aca="false">IF(OR(D5="",TC_USD=""),"",D5/TC_USD)</f>
        <v/>
      </c>
      <c r="H5" s="14"/>
      <c r="I5" s="17" t="str">
        <f aca="false">IF(OR(D5="",H5=""),"",D5-H5)</f>
        <v/>
      </c>
      <c r="J5" s="18" t="str">
        <f aca="false">IFERROR(I5/D5,"")</f>
        <v/>
      </c>
      <c r="K5" s="12" t="s">
        <v>686</v>
      </c>
      <c r="L5" s="19" t="str">
        <f aca="true">IF(D5="","",TODAY())</f>
        <v/>
      </c>
      <c r="M5" s="12" t="str">
        <f aca="false">IF(D5="","Pendiente",IF(H5="","Precio cargado; falta costo","Completo"))</f>
        <v>Pendiente</v>
      </c>
      <c r="N5" s="20"/>
      <c r="O5" s="2"/>
      <c r="P5" s="2"/>
      <c r="Q5" s="2"/>
      <c r="R5" s="2"/>
      <c r="S5" s="2"/>
      <c r="T5" s="2"/>
      <c r="U5" s="2"/>
      <c r="V5" s="2"/>
      <c r="W5" s="2"/>
      <c r="X5" s="2"/>
      <c r="Y5" s="2"/>
      <c r="Z5" s="2"/>
    </row>
    <row r="6" customFormat="false" ht="42" hidden="false" customHeight="true" outlineLevel="0" collapsed="false">
      <c r="A6" s="12" t="s">
        <v>102</v>
      </c>
      <c r="B6" s="12" t="s">
        <v>103</v>
      </c>
      <c r="C6" s="12" t="s">
        <v>833</v>
      </c>
      <c r="D6" s="14"/>
      <c r="E6" s="15"/>
      <c r="F6" s="15"/>
      <c r="G6" s="16" t="str">
        <f aca="false">IF(OR(D6="",TC_USD=""),"",D6/TC_USD)</f>
        <v/>
      </c>
      <c r="H6" s="14"/>
      <c r="I6" s="17" t="str">
        <f aca="false">IF(OR(D6="",H6=""),"",D6-H6)</f>
        <v/>
      </c>
      <c r="J6" s="18" t="str">
        <f aca="false">IFERROR(I6/D6,"")</f>
        <v/>
      </c>
      <c r="K6" s="12" t="s">
        <v>686</v>
      </c>
      <c r="L6" s="19" t="str">
        <f aca="true">IF(D6="","",TODAY())</f>
        <v/>
      </c>
      <c r="M6" s="12" t="str">
        <f aca="false">IF(D6="","Pendiente",IF(H6="","Precio cargado; falta costo","Completo"))</f>
        <v>Pendiente</v>
      </c>
      <c r="N6" s="20"/>
      <c r="O6" s="2"/>
      <c r="P6" s="2"/>
      <c r="Q6" s="2"/>
      <c r="R6" s="2"/>
      <c r="S6" s="2"/>
      <c r="T6" s="2"/>
      <c r="U6" s="2"/>
      <c r="V6" s="2"/>
      <c r="W6" s="2"/>
      <c r="X6" s="2"/>
      <c r="Y6" s="2"/>
      <c r="Z6" s="2"/>
    </row>
    <row r="7" customFormat="false" ht="42" hidden="false" customHeight="true" outlineLevel="0" collapsed="false">
      <c r="A7" s="12" t="s">
        <v>113</v>
      </c>
      <c r="B7" s="12" t="s">
        <v>114</v>
      </c>
      <c r="C7" s="12" t="s">
        <v>833</v>
      </c>
      <c r="D7" s="14"/>
      <c r="E7" s="15"/>
      <c r="F7" s="15"/>
      <c r="G7" s="16" t="str">
        <f aca="false">IF(OR(D7="",TC_USD=""),"",D7/TC_USD)</f>
        <v/>
      </c>
      <c r="H7" s="14"/>
      <c r="I7" s="17" t="str">
        <f aca="false">IF(OR(D7="",H7=""),"",D7-H7)</f>
        <v/>
      </c>
      <c r="J7" s="18" t="str">
        <f aca="false">IFERROR(I7/D7,"")</f>
        <v/>
      </c>
      <c r="K7" s="12" t="s">
        <v>686</v>
      </c>
      <c r="L7" s="19" t="str">
        <f aca="true">IF(D7="","",TODAY())</f>
        <v/>
      </c>
      <c r="M7" s="12" t="str">
        <f aca="false">IF(D7="","Pendiente",IF(H7="","Precio cargado; falta costo","Completo"))</f>
        <v>Pendiente</v>
      </c>
      <c r="N7" s="20"/>
      <c r="O7" s="2"/>
      <c r="P7" s="2"/>
      <c r="Q7" s="2"/>
      <c r="R7" s="2"/>
      <c r="S7" s="2"/>
      <c r="T7" s="2"/>
      <c r="U7" s="2"/>
      <c r="V7" s="2"/>
      <c r="W7" s="2"/>
      <c r="X7" s="2"/>
      <c r="Y7" s="2"/>
      <c r="Z7" s="2"/>
    </row>
    <row r="8" customFormat="false" ht="42" hidden="false" customHeight="true" outlineLevel="0" collapsed="false">
      <c r="A8" s="12" t="s">
        <v>124</v>
      </c>
      <c r="B8" s="12" t="s">
        <v>125</v>
      </c>
      <c r="C8" s="12" t="s">
        <v>833</v>
      </c>
      <c r="D8" s="14"/>
      <c r="E8" s="15"/>
      <c r="F8" s="15"/>
      <c r="G8" s="16" t="str">
        <f aca="false">IF(OR(D8="",TC_USD=""),"",D8/TC_USD)</f>
        <v/>
      </c>
      <c r="H8" s="14"/>
      <c r="I8" s="17" t="str">
        <f aca="false">IF(OR(D8="",H8=""),"",D8-H8)</f>
        <v/>
      </c>
      <c r="J8" s="18" t="str">
        <f aca="false">IFERROR(I8/D8,"")</f>
        <v/>
      </c>
      <c r="K8" s="12" t="s">
        <v>686</v>
      </c>
      <c r="L8" s="19" t="str">
        <f aca="true">IF(D8="","",TODAY())</f>
        <v/>
      </c>
      <c r="M8" s="12" t="str">
        <f aca="false">IF(D8="","Pendiente",IF(H8="","Precio cargado; falta costo","Completo"))</f>
        <v>Pendiente</v>
      </c>
      <c r="N8" s="20"/>
      <c r="O8" s="2"/>
      <c r="P8" s="2"/>
      <c r="Q8" s="2"/>
      <c r="R8" s="2"/>
      <c r="S8" s="2"/>
      <c r="T8" s="2"/>
      <c r="U8" s="2"/>
      <c r="V8" s="2"/>
      <c r="W8" s="2"/>
      <c r="X8" s="2"/>
      <c r="Y8" s="2"/>
      <c r="Z8" s="2"/>
    </row>
    <row r="9" customFormat="false" ht="42" hidden="false" customHeight="true" outlineLevel="0" collapsed="false">
      <c r="A9" s="12" t="s">
        <v>135</v>
      </c>
      <c r="B9" s="12" t="s">
        <v>136</v>
      </c>
      <c r="C9" s="12" t="s">
        <v>833</v>
      </c>
      <c r="D9" s="14"/>
      <c r="E9" s="15"/>
      <c r="F9" s="15"/>
      <c r="G9" s="16" t="str">
        <f aca="false">IF(OR(D9="",TC_USD=""),"",D9/TC_USD)</f>
        <v/>
      </c>
      <c r="H9" s="14"/>
      <c r="I9" s="17" t="str">
        <f aca="false">IF(OR(D9="",H9=""),"",D9-H9)</f>
        <v/>
      </c>
      <c r="J9" s="18" t="str">
        <f aca="false">IFERROR(I9/D9,"")</f>
        <v/>
      </c>
      <c r="K9" s="12" t="s">
        <v>686</v>
      </c>
      <c r="L9" s="19" t="str">
        <f aca="true">IF(D9="","",TODAY())</f>
        <v/>
      </c>
      <c r="M9" s="12" t="str">
        <f aca="false">IF(D9="","Pendiente",IF(H9="","Precio cargado; falta costo","Completo"))</f>
        <v>Pendiente</v>
      </c>
      <c r="N9" s="20"/>
      <c r="O9" s="2"/>
      <c r="P9" s="2"/>
      <c r="Q9" s="2"/>
      <c r="R9" s="2"/>
      <c r="S9" s="2"/>
      <c r="T9" s="2"/>
      <c r="U9" s="2"/>
      <c r="V9" s="2"/>
      <c r="W9" s="2"/>
      <c r="X9" s="2"/>
      <c r="Y9" s="2"/>
      <c r="Z9" s="2"/>
    </row>
    <row r="10" customFormat="false" ht="42" hidden="false" customHeight="true" outlineLevel="0" collapsed="false">
      <c r="A10" s="12" t="s">
        <v>146</v>
      </c>
      <c r="B10" s="12" t="s">
        <v>147</v>
      </c>
      <c r="C10" s="12" t="s">
        <v>833</v>
      </c>
      <c r="D10" s="14"/>
      <c r="E10" s="15"/>
      <c r="F10" s="15"/>
      <c r="G10" s="16" t="str">
        <f aca="false">IF(OR(D10="",TC_USD=""),"",D10/TC_USD)</f>
        <v/>
      </c>
      <c r="H10" s="14"/>
      <c r="I10" s="17" t="str">
        <f aca="false">IF(OR(D10="",H10=""),"",D10-H10)</f>
        <v/>
      </c>
      <c r="J10" s="18" t="str">
        <f aca="false">IFERROR(I10/D10,"")</f>
        <v/>
      </c>
      <c r="K10" s="12" t="s">
        <v>686</v>
      </c>
      <c r="L10" s="19" t="str">
        <f aca="true">IF(D10="","",TODAY())</f>
        <v/>
      </c>
      <c r="M10" s="12" t="str">
        <f aca="false">IF(D10="","Pendiente",IF(H10="","Precio cargado; falta costo","Completo"))</f>
        <v>Pendiente</v>
      </c>
      <c r="N10" s="20"/>
      <c r="O10" s="2"/>
      <c r="P10" s="2"/>
      <c r="Q10" s="2"/>
      <c r="R10" s="2"/>
      <c r="S10" s="2"/>
      <c r="T10" s="2"/>
      <c r="U10" s="2"/>
      <c r="V10" s="2"/>
      <c r="W10" s="2"/>
      <c r="X10" s="2"/>
      <c r="Y10" s="2"/>
      <c r="Z10" s="2"/>
    </row>
    <row r="11" customFormat="false" ht="42" hidden="false" customHeight="true" outlineLevel="0" collapsed="false">
      <c r="A11" s="12" t="s">
        <v>157</v>
      </c>
      <c r="B11" s="12" t="s">
        <v>158</v>
      </c>
      <c r="C11" s="12" t="s">
        <v>833</v>
      </c>
      <c r="D11" s="14"/>
      <c r="E11" s="15"/>
      <c r="F11" s="15"/>
      <c r="G11" s="16" t="str">
        <f aca="false">IF(OR(D11="",TC_USD=""),"",D11/TC_USD)</f>
        <v/>
      </c>
      <c r="H11" s="14"/>
      <c r="I11" s="17" t="str">
        <f aca="false">IF(OR(D11="",H11=""),"",D11-H11)</f>
        <v/>
      </c>
      <c r="J11" s="18" t="str">
        <f aca="false">IFERROR(I11/D11,"")</f>
        <v/>
      </c>
      <c r="K11" s="12" t="s">
        <v>686</v>
      </c>
      <c r="L11" s="19" t="str">
        <f aca="true">IF(D11="","",TODAY())</f>
        <v/>
      </c>
      <c r="M11" s="12" t="str">
        <f aca="false">IF(D11="","Pendiente",IF(H11="","Precio cargado; falta costo","Completo"))</f>
        <v>Pendiente</v>
      </c>
      <c r="N11" s="20"/>
      <c r="O11" s="2"/>
      <c r="P11" s="2"/>
      <c r="Q11" s="2"/>
      <c r="R11" s="2"/>
      <c r="S11" s="2"/>
      <c r="T11" s="2"/>
      <c r="U11" s="2"/>
      <c r="V11" s="2"/>
      <c r="W11" s="2"/>
      <c r="X11" s="2"/>
      <c r="Y11" s="2"/>
      <c r="Z11" s="2"/>
    </row>
    <row r="12" customFormat="false" ht="42" hidden="false" customHeight="true" outlineLevel="0" collapsed="false">
      <c r="A12" s="12" t="s">
        <v>168</v>
      </c>
      <c r="B12" s="12" t="s">
        <v>169</v>
      </c>
      <c r="C12" s="12" t="s">
        <v>833</v>
      </c>
      <c r="D12" s="14"/>
      <c r="E12" s="15"/>
      <c r="F12" s="15"/>
      <c r="G12" s="16" t="str">
        <f aca="false">IF(OR(D12="",TC_USD=""),"",D12/TC_USD)</f>
        <v/>
      </c>
      <c r="H12" s="14"/>
      <c r="I12" s="17" t="str">
        <f aca="false">IF(OR(D12="",H12=""),"",D12-H12)</f>
        <v/>
      </c>
      <c r="J12" s="18" t="str">
        <f aca="false">IFERROR(I12/D12,"")</f>
        <v/>
      </c>
      <c r="K12" s="12" t="s">
        <v>686</v>
      </c>
      <c r="L12" s="19" t="str">
        <f aca="true">IF(D12="","",TODAY())</f>
        <v/>
      </c>
      <c r="M12" s="12" t="str">
        <f aca="false">IF(D12="","Pendiente",IF(H12="","Precio cargado; falta costo","Completo"))</f>
        <v>Pendiente</v>
      </c>
      <c r="N12" s="20"/>
      <c r="O12" s="2"/>
      <c r="P12" s="2"/>
      <c r="Q12" s="2"/>
      <c r="R12" s="2"/>
      <c r="S12" s="2"/>
      <c r="T12" s="2"/>
      <c r="U12" s="2"/>
      <c r="V12" s="2"/>
      <c r="W12" s="2"/>
      <c r="X12" s="2"/>
      <c r="Y12" s="2"/>
      <c r="Z12" s="2"/>
    </row>
    <row r="13" customFormat="false" ht="42" hidden="false" customHeight="true" outlineLevel="0" collapsed="false">
      <c r="A13" s="12" t="s">
        <v>179</v>
      </c>
      <c r="B13" s="12" t="s">
        <v>180</v>
      </c>
      <c r="C13" s="12" t="s">
        <v>833</v>
      </c>
      <c r="D13" s="14"/>
      <c r="E13" s="15"/>
      <c r="F13" s="15"/>
      <c r="G13" s="16" t="str">
        <f aca="false">IF(OR(D13="",TC_USD=""),"",D13/TC_USD)</f>
        <v/>
      </c>
      <c r="H13" s="14"/>
      <c r="I13" s="17" t="str">
        <f aca="false">IF(OR(D13="",H13=""),"",D13-H13)</f>
        <v/>
      </c>
      <c r="J13" s="18" t="str">
        <f aca="false">IFERROR(I13/D13,"")</f>
        <v/>
      </c>
      <c r="K13" s="12" t="s">
        <v>686</v>
      </c>
      <c r="L13" s="19" t="str">
        <f aca="true">IF(D13="","",TODAY())</f>
        <v/>
      </c>
      <c r="M13" s="12" t="str">
        <f aca="false">IF(D13="","Pendiente",IF(H13="","Precio cargado; falta costo","Completo"))</f>
        <v>Pendiente</v>
      </c>
      <c r="N13" s="20"/>
      <c r="O13" s="2"/>
      <c r="P13" s="2"/>
      <c r="Q13" s="2"/>
      <c r="R13" s="2"/>
      <c r="S13" s="2"/>
      <c r="T13" s="2"/>
      <c r="U13" s="2"/>
      <c r="V13" s="2"/>
      <c r="W13" s="2"/>
      <c r="X13" s="2"/>
      <c r="Y13" s="2"/>
      <c r="Z13" s="2"/>
    </row>
    <row r="14" customFormat="false" ht="42" hidden="false" customHeight="true" outlineLevel="0" collapsed="false">
      <c r="A14" s="12" t="s">
        <v>190</v>
      </c>
      <c r="B14" s="12" t="s">
        <v>191</v>
      </c>
      <c r="C14" s="12" t="s">
        <v>833</v>
      </c>
      <c r="D14" s="14"/>
      <c r="E14" s="15"/>
      <c r="F14" s="15"/>
      <c r="G14" s="16" t="str">
        <f aca="false">IF(OR(D14="",TC_USD=""),"",D14/TC_USD)</f>
        <v/>
      </c>
      <c r="H14" s="14"/>
      <c r="I14" s="17" t="str">
        <f aca="false">IF(OR(D14="",H14=""),"",D14-H14)</f>
        <v/>
      </c>
      <c r="J14" s="18" t="str">
        <f aca="false">IFERROR(I14/D14,"")</f>
        <v/>
      </c>
      <c r="K14" s="12" t="s">
        <v>686</v>
      </c>
      <c r="L14" s="19" t="str">
        <f aca="true">IF(D14="","",TODAY())</f>
        <v/>
      </c>
      <c r="M14" s="12" t="str">
        <f aca="false">IF(D14="","Pendiente",IF(H14="","Precio cargado; falta costo","Completo"))</f>
        <v>Pendiente</v>
      </c>
      <c r="N14" s="20"/>
      <c r="O14" s="2"/>
      <c r="P14" s="2"/>
      <c r="Q14" s="2"/>
      <c r="R14" s="2"/>
      <c r="S14" s="2"/>
      <c r="T14" s="2"/>
      <c r="U14" s="2"/>
      <c r="V14" s="2"/>
      <c r="W14" s="2"/>
      <c r="X14" s="2"/>
      <c r="Y14" s="2"/>
      <c r="Z14" s="2"/>
    </row>
    <row r="15" customFormat="false" ht="42" hidden="false" customHeight="true" outlineLevel="0" collapsed="false">
      <c r="A15" s="12" t="s">
        <v>200</v>
      </c>
      <c r="B15" s="12" t="s">
        <v>201</v>
      </c>
      <c r="C15" s="12" t="s">
        <v>833</v>
      </c>
      <c r="D15" s="14"/>
      <c r="E15" s="15"/>
      <c r="F15" s="15"/>
      <c r="G15" s="16" t="str">
        <f aca="false">IF(OR(D15="",TC_USD=""),"",D15/TC_USD)</f>
        <v/>
      </c>
      <c r="H15" s="14"/>
      <c r="I15" s="17" t="str">
        <f aca="false">IF(OR(D15="",H15=""),"",D15-H15)</f>
        <v/>
      </c>
      <c r="J15" s="18" t="str">
        <f aca="false">IFERROR(I15/D15,"")</f>
        <v/>
      </c>
      <c r="K15" s="12" t="s">
        <v>686</v>
      </c>
      <c r="L15" s="19" t="str">
        <f aca="true">IF(D15="","",TODAY())</f>
        <v/>
      </c>
      <c r="M15" s="12" t="str">
        <f aca="false">IF(D15="","Pendiente",IF(H15="","Precio cargado; falta costo","Completo"))</f>
        <v>Pendiente</v>
      </c>
      <c r="N15" s="20"/>
      <c r="O15" s="2"/>
      <c r="P15" s="2"/>
      <c r="Q15" s="2"/>
      <c r="R15" s="2"/>
      <c r="S15" s="2"/>
      <c r="T15" s="2"/>
      <c r="U15" s="2"/>
      <c r="V15" s="2"/>
      <c r="W15" s="2"/>
      <c r="X15" s="2"/>
      <c r="Y15" s="2"/>
      <c r="Z15" s="2"/>
    </row>
    <row r="16" customFormat="false" ht="42" hidden="false" customHeight="true" outlineLevel="0" collapsed="false">
      <c r="A16" s="12" t="s">
        <v>208</v>
      </c>
      <c r="B16" s="12" t="s">
        <v>209</v>
      </c>
      <c r="C16" s="12" t="s">
        <v>833</v>
      </c>
      <c r="D16" s="14"/>
      <c r="E16" s="15"/>
      <c r="F16" s="15"/>
      <c r="G16" s="16" t="str">
        <f aca="false">IF(OR(D16="",TC_USD=""),"",D16/TC_USD)</f>
        <v/>
      </c>
      <c r="H16" s="14"/>
      <c r="I16" s="17" t="str">
        <f aca="false">IF(OR(D16="",H16=""),"",D16-H16)</f>
        <v/>
      </c>
      <c r="J16" s="18" t="str">
        <f aca="false">IFERROR(I16/D16,"")</f>
        <v/>
      </c>
      <c r="K16" s="12" t="s">
        <v>686</v>
      </c>
      <c r="L16" s="19" t="str">
        <f aca="true">IF(D16="","",TODAY())</f>
        <v/>
      </c>
      <c r="M16" s="12" t="str">
        <f aca="false">IF(D16="","Pendiente",IF(H16="","Precio cargado; falta costo","Completo"))</f>
        <v>Pendiente</v>
      </c>
      <c r="N16" s="20"/>
      <c r="O16" s="2"/>
      <c r="P16" s="2"/>
      <c r="Q16" s="2"/>
      <c r="R16" s="2"/>
      <c r="S16" s="2"/>
      <c r="T16" s="2"/>
      <c r="U16" s="2"/>
      <c r="V16" s="2"/>
      <c r="W16" s="2"/>
      <c r="X16" s="2"/>
      <c r="Y16" s="2"/>
      <c r="Z16" s="2"/>
    </row>
    <row r="17" customFormat="false" ht="42" hidden="false" customHeight="true" outlineLevel="0" collapsed="false">
      <c r="A17" s="12" t="s">
        <v>219</v>
      </c>
      <c r="B17" s="12" t="s">
        <v>220</v>
      </c>
      <c r="C17" s="12" t="s">
        <v>833</v>
      </c>
      <c r="D17" s="14"/>
      <c r="E17" s="15"/>
      <c r="F17" s="15"/>
      <c r="G17" s="16" t="str">
        <f aca="false">IF(OR(D17="",TC_USD=""),"",D17/TC_USD)</f>
        <v/>
      </c>
      <c r="H17" s="14"/>
      <c r="I17" s="17" t="str">
        <f aca="false">IF(OR(D17="",H17=""),"",D17-H17)</f>
        <v/>
      </c>
      <c r="J17" s="18" t="str">
        <f aca="false">IFERROR(I17/D17,"")</f>
        <v/>
      </c>
      <c r="K17" s="12" t="s">
        <v>686</v>
      </c>
      <c r="L17" s="19" t="str">
        <f aca="true">IF(D17="","",TODAY())</f>
        <v/>
      </c>
      <c r="M17" s="12" t="str">
        <f aca="false">IF(D17="","Pendiente",IF(H17="","Precio cargado; falta costo","Completo"))</f>
        <v>Pendiente</v>
      </c>
      <c r="N17" s="20"/>
      <c r="O17" s="2"/>
      <c r="P17" s="2"/>
      <c r="Q17" s="2"/>
      <c r="R17" s="2"/>
      <c r="S17" s="2"/>
      <c r="T17" s="2"/>
      <c r="U17" s="2"/>
      <c r="V17" s="2"/>
      <c r="W17" s="2"/>
      <c r="X17" s="2"/>
      <c r="Y17" s="2"/>
      <c r="Z17" s="2"/>
    </row>
    <row r="18" customFormat="false" ht="42" hidden="false" customHeight="true" outlineLevel="0" collapsed="false">
      <c r="A18" s="12" t="s">
        <v>230</v>
      </c>
      <c r="B18" s="12" t="s">
        <v>231</v>
      </c>
      <c r="C18" s="12" t="s">
        <v>833</v>
      </c>
      <c r="D18" s="14"/>
      <c r="E18" s="15"/>
      <c r="F18" s="15"/>
      <c r="G18" s="16" t="str">
        <f aca="false">IF(OR(D18="",TC_USD=""),"",D18/TC_USD)</f>
        <v/>
      </c>
      <c r="H18" s="14"/>
      <c r="I18" s="17" t="str">
        <f aca="false">IF(OR(D18="",H18=""),"",D18-H18)</f>
        <v/>
      </c>
      <c r="J18" s="18" t="str">
        <f aca="false">IFERROR(I18/D18,"")</f>
        <v/>
      </c>
      <c r="K18" s="12" t="s">
        <v>686</v>
      </c>
      <c r="L18" s="19" t="str">
        <f aca="true">IF(D18="","",TODAY())</f>
        <v/>
      </c>
      <c r="M18" s="12" t="str">
        <f aca="false">IF(D18="","Pendiente",IF(H18="","Precio cargado; falta costo","Completo"))</f>
        <v>Pendiente</v>
      </c>
      <c r="N18" s="20"/>
      <c r="O18" s="2"/>
      <c r="P18" s="2"/>
      <c r="Q18" s="2"/>
      <c r="R18" s="2"/>
      <c r="S18" s="2"/>
      <c r="T18" s="2"/>
      <c r="U18" s="2"/>
      <c r="V18" s="2"/>
      <c r="W18" s="2"/>
      <c r="X18" s="2"/>
      <c r="Y18" s="2"/>
      <c r="Z18" s="2"/>
    </row>
    <row r="19" customFormat="false" ht="42" hidden="false" customHeight="true" outlineLevel="0" collapsed="false">
      <c r="A19" s="12" t="s">
        <v>241</v>
      </c>
      <c r="B19" s="12" t="s">
        <v>242</v>
      </c>
      <c r="C19" s="12" t="s">
        <v>833</v>
      </c>
      <c r="D19" s="14"/>
      <c r="E19" s="15"/>
      <c r="F19" s="15"/>
      <c r="G19" s="16" t="str">
        <f aca="false">IF(OR(D19="",TC_USD=""),"",D19/TC_USD)</f>
        <v/>
      </c>
      <c r="H19" s="14"/>
      <c r="I19" s="17" t="str">
        <f aca="false">IF(OR(D19="",H19=""),"",D19-H19)</f>
        <v/>
      </c>
      <c r="J19" s="18" t="str">
        <f aca="false">IFERROR(I19/D19,"")</f>
        <v/>
      </c>
      <c r="K19" s="12" t="s">
        <v>686</v>
      </c>
      <c r="L19" s="19" t="str">
        <f aca="true">IF(D19="","",TODAY())</f>
        <v/>
      </c>
      <c r="M19" s="12" t="str">
        <f aca="false">IF(D19="","Pendiente",IF(H19="","Precio cargado; falta costo","Completo"))</f>
        <v>Pendiente</v>
      </c>
      <c r="N19" s="20"/>
      <c r="O19" s="2"/>
      <c r="P19" s="2"/>
      <c r="Q19" s="2"/>
      <c r="R19" s="2"/>
      <c r="S19" s="2"/>
      <c r="T19" s="2"/>
      <c r="U19" s="2"/>
      <c r="V19" s="2"/>
      <c r="W19" s="2"/>
      <c r="X19" s="2"/>
      <c r="Y19" s="2"/>
      <c r="Z19" s="2"/>
    </row>
    <row r="20" customFormat="false" ht="42" hidden="false" customHeight="true" outlineLevel="0" collapsed="false">
      <c r="A20" s="12" t="s">
        <v>252</v>
      </c>
      <c r="B20" s="12" t="s">
        <v>253</v>
      </c>
      <c r="C20" s="12" t="s">
        <v>833</v>
      </c>
      <c r="D20" s="14"/>
      <c r="E20" s="15"/>
      <c r="F20" s="15"/>
      <c r="G20" s="16" t="str">
        <f aca="false">IF(OR(D20="",TC_USD=""),"",D20/TC_USD)</f>
        <v/>
      </c>
      <c r="H20" s="14"/>
      <c r="I20" s="17" t="str">
        <f aca="false">IF(OR(D20="",H20=""),"",D20-H20)</f>
        <v/>
      </c>
      <c r="J20" s="18" t="str">
        <f aca="false">IFERROR(I20/D20,"")</f>
        <v/>
      </c>
      <c r="K20" s="12" t="s">
        <v>686</v>
      </c>
      <c r="L20" s="19" t="str">
        <f aca="true">IF(D20="","",TODAY())</f>
        <v/>
      </c>
      <c r="M20" s="12" t="str">
        <f aca="false">IF(D20="","Pendiente",IF(H20="","Precio cargado; falta costo","Completo"))</f>
        <v>Pendiente</v>
      </c>
      <c r="N20" s="20"/>
      <c r="O20" s="2"/>
      <c r="P20" s="2"/>
      <c r="Q20" s="2"/>
      <c r="R20" s="2"/>
      <c r="S20" s="2"/>
      <c r="T20" s="2"/>
      <c r="U20" s="2"/>
      <c r="V20" s="2"/>
      <c r="W20" s="2"/>
      <c r="X20" s="2"/>
      <c r="Y20" s="2"/>
      <c r="Z20" s="2"/>
    </row>
    <row r="21" customFormat="false" ht="42" hidden="false" customHeight="true" outlineLevel="0" collapsed="false">
      <c r="A21" s="12" t="s">
        <v>263</v>
      </c>
      <c r="B21" s="12" t="s">
        <v>264</v>
      </c>
      <c r="C21" s="12" t="s">
        <v>833</v>
      </c>
      <c r="D21" s="14"/>
      <c r="E21" s="15"/>
      <c r="F21" s="15"/>
      <c r="G21" s="16" t="str">
        <f aca="false">IF(OR(D21="",TC_USD=""),"",D21/TC_USD)</f>
        <v/>
      </c>
      <c r="H21" s="14"/>
      <c r="I21" s="17" t="str">
        <f aca="false">IF(OR(D21="",H21=""),"",D21-H21)</f>
        <v/>
      </c>
      <c r="J21" s="18" t="str">
        <f aca="false">IFERROR(I21/D21,"")</f>
        <v/>
      </c>
      <c r="K21" s="12" t="s">
        <v>686</v>
      </c>
      <c r="L21" s="19" t="str">
        <f aca="true">IF(D21="","",TODAY())</f>
        <v/>
      </c>
      <c r="M21" s="12" t="str">
        <f aca="false">IF(D21="","Pendiente",IF(H21="","Precio cargado; falta costo","Completo"))</f>
        <v>Pendiente</v>
      </c>
      <c r="N21" s="20"/>
      <c r="O21" s="2"/>
      <c r="P21" s="2"/>
      <c r="Q21" s="2"/>
      <c r="R21" s="2"/>
      <c r="S21" s="2"/>
      <c r="T21" s="2"/>
      <c r="U21" s="2"/>
      <c r="V21" s="2"/>
      <c r="W21" s="2"/>
      <c r="X21" s="2"/>
      <c r="Y21" s="2"/>
      <c r="Z21" s="2"/>
    </row>
    <row r="22" customFormat="false" ht="42" hidden="false" customHeight="true" outlineLevel="0" collapsed="false">
      <c r="A22" s="12" t="s">
        <v>274</v>
      </c>
      <c r="B22" s="12" t="s">
        <v>275</v>
      </c>
      <c r="C22" s="12" t="s">
        <v>833</v>
      </c>
      <c r="D22" s="14"/>
      <c r="E22" s="15"/>
      <c r="F22" s="15"/>
      <c r="G22" s="16" t="str">
        <f aca="false">IF(OR(D22="",TC_USD=""),"",D22/TC_USD)</f>
        <v/>
      </c>
      <c r="H22" s="14"/>
      <c r="I22" s="17" t="str">
        <f aca="false">IF(OR(D22="",H22=""),"",D22-H22)</f>
        <v/>
      </c>
      <c r="J22" s="18" t="str">
        <f aca="false">IFERROR(I22/D22,"")</f>
        <v/>
      </c>
      <c r="K22" s="12" t="s">
        <v>686</v>
      </c>
      <c r="L22" s="19" t="str">
        <f aca="true">IF(D22="","",TODAY())</f>
        <v/>
      </c>
      <c r="M22" s="12" t="str">
        <f aca="false">IF(D22="","Pendiente",IF(H22="","Precio cargado; falta costo","Completo"))</f>
        <v>Pendiente</v>
      </c>
      <c r="N22" s="20"/>
      <c r="O22" s="2"/>
      <c r="P22" s="2"/>
      <c r="Q22" s="2"/>
      <c r="R22" s="2"/>
      <c r="S22" s="2"/>
      <c r="T22" s="2"/>
      <c r="U22" s="2"/>
      <c r="V22" s="2"/>
      <c r="W22" s="2"/>
      <c r="X22" s="2"/>
      <c r="Y22" s="2"/>
      <c r="Z22" s="2"/>
    </row>
    <row r="23" customFormat="false" ht="42" hidden="false" customHeight="true" outlineLevel="0" collapsed="false">
      <c r="A23" s="12" t="s">
        <v>285</v>
      </c>
      <c r="B23" s="12" t="s">
        <v>286</v>
      </c>
      <c r="C23" s="12" t="s">
        <v>833</v>
      </c>
      <c r="D23" s="14"/>
      <c r="E23" s="15"/>
      <c r="F23" s="15"/>
      <c r="G23" s="16" t="str">
        <f aca="false">IF(OR(D23="",TC_USD=""),"",D23/TC_USD)</f>
        <v/>
      </c>
      <c r="H23" s="14"/>
      <c r="I23" s="17" t="str">
        <f aca="false">IF(OR(D23="",H23=""),"",D23-H23)</f>
        <v/>
      </c>
      <c r="J23" s="18" t="str">
        <f aca="false">IFERROR(I23/D23,"")</f>
        <v/>
      </c>
      <c r="K23" s="12" t="s">
        <v>686</v>
      </c>
      <c r="L23" s="19" t="str">
        <f aca="true">IF(D23="","",TODAY())</f>
        <v/>
      </c>
      <c r="M23" s="12" t="str">
        <f aca="false">IF(D23="","Pendiente",IF(H23="","Precio cargado; falta costo","Completo"))</f>
        <v>Pendiente</v>
      </c>
      <c r="N23" s="20"/>
      <c r="O23" s="2"/>
      <c r="P23" s="2"/>
      <c r="Q23" s="2"/>
      <c r="R23" s="2"/>
      <c r="S23" s="2"/>
      <c r="T23" s="2"/>
      <c r="U23" s="2"/>
      <c r="V23" s="2"/>
      <c r="W23" s="2"/>
      <c r="X23" s="2"/>
      <c r="Y23" s="2"/>
      <c r="Z23" s="2"/>
    </row>
    <row r="24" customFormat="false" ht="42" hidden="false" customHeight="true" outlineLevel="0" collapsed="false">
      <c r="A24" s="12" t="s">
        <v>296</v>
      </c>
      <c r="B24" s="12" t="s">
        <v>297</v>
      </c>
      <c r="C24" s="12" t="s">
        <v>833</v>
      </c>
      <c r="D24" s="14"/>
      <c r="E24" s="15"/>
      <c r="F24" s="15"/>
      <c r="G24" s="16" t="str">
        <f aca="false">IF(OR(D24="",TC_USD=""),"",D24/TC_USD)</f>
        <v/>
      </c>
      <c r="H24" s="14"/>
      <c r="I24" s="17" t="str">
        <f aca="false">IF(OR(D24="",H24=""),"",D24-H24)</f>
        <v/>
      </c>
      <c r="J24" s="18" t="str">
        <f aca="false">IFERROR(I24/D24,"")</f>
        <v/>
      </c>
      <c r="K24" s="12" t="s">
        <v>686</v>
      </c>
      <c r="L24" s="19" t="str">
        <f aca="true">IF(D24="","",TODAY())</f>
        <v/>
      </c>
      <c r="M24" s="12" t="str">
        <f aca="false">IF(D24="","Pendiente",IF(H24="","Precio cargado; falta costo","Completo"))</f>
        <v>Pendiente</v>
      </c>
      <c r="N24" s="20"/>
      <c r="O24" s="2"/>
      <c r="P24" s="2"/>
      <c r="Q24" s="2"/>
      <c r="R24" s="2"/>
      <c r="S24" s="2"/>
      <c r="T24" s="2"/>
      <c r="U24" s="2"/>
      <c r="V24" s="2"/>
      <c r="W24" s="2"/>
      <c r="X24" s="2"/>
      <c r="Y24" s="2"/>
      <c r="Z24" s="2"/>
    </row>
    <row r="25" customFormat="false" ht="42" hidden="false" customHeight="true" outlineLevel="0" collapsed="false">
      <c r="A25" s="12" t="s">
        <v>306</v>
      </c>
      <c r="B25" s="12" t="s">
        <v>307</v>
      </c>
      <c r="C25" s="12" t="s">
        <v>833</v>
      </c>
      <c r="D25" s="14"/>
      <c r="E25" s="15"/>
      <c r="F25" s="15"/>
      <c r="G25" s="16" t="str">
        <f aca="false">IF(OR(D25="",TC_USD=""),"",D25/TC_USD)</f>
        <v/>
      </c>
      <c r="H25" s="14"/>
      <c r="I25" s="17" t="str">
        <f aca="false">IF(OR(D25="",H25=""),"",D25-H25)</f>
        <v/>
      </c>
      <c r="J25" s="18" t="str">
        <f aca="false">IFERROR(I25/D25,"")</f>
        <v/>
      </c>
      <c r="K25" s="12" t="s">
        <v>686</v>
      </c>
      <c r="L25" s="19" t="str">
        <f aca="true">IF(D25="","",TODAY())</f>
        <v/>
      </c>
      <c r="M25" s="12" t="str">
        <f aca="false">IF(D25="","Pendiente",IF(H25="","Precio cargado; falta costo","Completo"))</f>
        <v>Pendiente</v>
      </c>
      <c r="N25" s="20"/>
      <c r="O25" s="2"/>
      <c r="P25" s="2"/>
      <c r="Q25" s="2"/>
      <c r="R25" s="2"/>
      <c r="S25" s="2"/>
      <c r="T25" s="2"/>
      <c r="U25" s="2"/>
      <c r="V25" s="2"/>
      <c r="W25" s="2"/>
      <c r="X25" s="2"/>
      <c r="Y25" s="2"/>
      <c r="Z25" s="2"/>
    </row>
    <row r="26" customFormat="false" ht="42" hidden="false" customHeight="true" outlineLevel="0" collapsed="false">
      <c r="A26" s="12" t="s">
        <v>316</v>
      </c>
      <c r="B26" s="12" t="s">
        <v>317</v>
      </c>
      <c r="C26" s="12" t="s">
        <v>833</v>
      </c>
      <c r="D26" s="14"/>
      <c r="E26" s="15"/>
      <c r="F26" s="15"/>
      <c r="G26" s="16" t="str">
        <f aca="false">IF(OR(D26="",TC_USD=""),"",D26/TC_USD)</f>
        <v/>
      </c>
      <c r="H26" s="14"/>
      <c r="I26" s="17" t="str">
        <f aca="false">IF(OR(D26="",H26=""),"",D26-H26)</f>
        <v/>
      </c>
      <c r="J26" s="18" t="str">
        <f aca="false">IFERROR(I26/D26,"")</f>
        <v/>
      </c>
      <c r="K26" s="12" t="s">
        <v>686</v>
      </c>
      <c r="L26" s="19" t="str">
        <f aca="true">IF(D26="","",TODAY())</f>
        <v/>
      </c>
      <c r="M26" s="12" t="str">
        <f aca="false">IF(D26="","Pendiente",IF(H26="","Precio cargado; falta costo","Completo"))</f>
        <v>Pendiente</v>
      </c>
      <c r="N26" s="20"/>
      <c r="O26" s="2"/>
      <c r="P26" s="2"/>
      <c r="Q26" s="2"/>
      <c r="R26" s="2"/>
      <c r="S26" s="2"/>
      <c r="T26" s="2"/>
      <c r="U26" s="2"/>
      <c r="V26" s="2"/>
      <c r="W26" s="2"/>
      <c r="X26" s="2"/>
      <c r="Y26" s="2"/>
      <c r="Z26" s="2"/>
    </row>
    <row r="27" customFormat="false" ht="42" hidden="false" customHeight="true" outlineLevel="0" collapsed="false">
      <c r="A27" s="12" t="s">
        <v>325</v>
      </c>
      <c r="B27" s="12" t="s">
        <v>326</v>
      </c>
      <c r="C27" s="12" t="s">
        <v>833</v>
      </c>
      <c r="D27" s="14"/>
      <c r="E27" s="15"/>
      <c r="F27" s="15"/>
      <c r="G27" s="16" t="str">
        <f aca="false">IF(OR(D27="",TC_USD=""),"",D27/TC_USD)</f>
        <v/>
      </c>
      <c r="H27" s="14"/>
      <c r="I27" s="17" t="str">
        <f aca="false">IF(OR(D27="",H27=""),"",D27-H27)</f>
        <v/>
      </c>
      <c r="J27" s="18" t="str">
        <f aca="false">IFERROR(I27/D27,"")</f>
        <v/>
      </c>
      <c r="K27" s="12" t="s">
        <v>686</v>
      </c>
      <c r="L27" s="19" t="str">
        <f aca="true">IF(D27="","",TODAY())</f>
        <v/>
      </c>
      <c r="M27" s="12" t="str">
        <f aca="false">IF(D27="","Pendiente",IF(H27="","Precio cargado; falta costo","Completo"))</f>
        <v>Pendiente</v>
      </c>
      <c r="N27" s="20"/>
      <c r="O27" s="2"/>
      <c r="P27" s="2"/>
      <c r="Q27" s="2"/>
      <c r="R27" s="2"/>
      <c r="S27" s="2"/>
      <c r="T27" s="2"/>
      <c r="U27" s="2"/>
      <c r="V27" s="2"/>
      <c r="W27" s="2"/>
      <c r="X27" s="2"/>
      <c r="Y27" s="2"/>
      <c r="Z27" s="2"/>
    </row>
    <row r="28" customFormat="false" ht="42" hidden="false" customHeight="true" outlineLevel="0" collapsed="false">
      <c r="A28" s="12" t="s">
        <v>334</v>
      </c>
      <c r="B28" s="12" t="s">
        <v>335</v>
      </c>
      <c r="C28" s="12" t="s">
        <v>833</v>
      </c>
      <c r="D28" s="14"/>
      <c r="E28" s="15"/>
      <c r="F28" s="15"/>
      <c r="G28" s="16" t="str">
        <f aca="false">IF(OR(D28="",TC_USD=""),"",D28/TC_USD)</f>
        <v/>
      </c>
      <c r="H28" s="14"/>
      <c r="I28" s="17" t="str">
        <f aca="false">IF(OR(D28="",H28=""),"",D28-H28)</f>
        <v/>
      </c>
      <c r="J28" s="18" t="str">
        <f aca="false">IFERROR(I28/D28,"")</f>
        <v/>
      </c>
      <c r="K28" s="12" t="s">
        <v>686</v>
      </c>
      <c r="L28" s="19" t="str">
        <f aca="true">IF(D28="","",TODAY())</f>
        <v/>
      </c>
      <c r="M28" s="12" t="str">
        <f aca="false">IF(D28="","Pendiente",IF(H28="","Precio cargado; falta costo","Completo"))</f>
        <v>Pendiente</v>
      </c>
      <c r="N28" s="20"/>
      <c r="O28" s="2"/>
      <c r="P28" s="2"/>
      <c r="Q28" s="2"/>
      <c r="R28" s="2"/>
      <c r="S28" s="2"/>
      <c r="T28" s="2"/>
      <c r="U28" s="2"/>
      <c r="V28" s="2"/>
      <c r="W28" s="2"/>
      <c r="X28" s="2"/>
      <c r="Y28" s="2"/>
      <c r="Z28" s="2"/>
    </row>
    <row r="29" customFormat="false" ht="42" hidden="false" customHeight="true" outlineLevel="0" collapsed="false">
      <c r="A29" s="12" t="s">
        <v>345</v>
      </c>
      <c r="B29" s="12" t="s">
        <v>346</v>
      </c>
      <c r="C29" s="12" t="s">
        <v>833</v>
      </c>
      <c r="D29" s="14"/>
      <c r="E29" s="15"/>
      <c r="F29" s="15"/>
      <c r="G29" s="16" t="str">
        <f aca="false">IF(OR(D29="",TC_USD=""),"",D29/TC_USD)</f>
        <v/>
      </c>
      <c r="H29" s="14"/>
      <c r="I29" s="17" t="str">
        <f aca="false">IF(OR(D29="",H29=""),"",D29-H29)</f>
        <v/>
      </c>
      <c r="J29" s="18" t="str">
        <f aca="false">IFERROR(I29/D29,"")</f>
        <v/>
      </c>
      <c r="K29" s="12" t="s">
        <v>686</v>
      </c>
      <c r="L29" s="19" t="str">
        <f aca="true">IF(D29="","",TODAY())</f>
        <v/>
      </c>
      <c r="M29" s="12" t="str">
        <f aca="false">IF(D29="","Pendiente",IF(H29="","Precio cargado; falta costo","Completo"))</f>
        <v>Pendiente</v>
      </c>
      <c r="N29" s="20"/>
      <c r="O29" s="2"/>
      <c r="P29" s="2"/>
      <c r="Q29" s="2"/>
      <c r="R29" s="2"/>
      <c r="S29" s="2"/>
      <c r="T29" s="2"/>
      <c r="U29" s="2"/>
      <c r="V29" s="2"/>
      <c r="W29" s="2"/>
      <c r="X29" s="2"/>
      <c r="Y29" s="2"/>
      <c r="Z29" s="2"/>
    </row>
    <row r="30" customFormat="false" ht="42" hidden="false" customHeight="true" outlineLevel="0" collapsed="false">
      <c r="A30" s="12" t="s">
        <v>355</v>
      </c>
      <c r="B30" s="12" t="s">
        <v>356</v>
      </c>
      <c r="C30" s="12" t="s">
        <v>833</v>
      </c>
      <c r="D30" s="14"/>
      <c r="E30" s="15"/>
      <c r="F30" s="15"/>
      <c r="G30" s="16" t="str">
        <f aca="false">IF(OR(D30="",TC_USD=""),"",D30/TC_USD)</f>
        <v/>
      </c>
      <c r="H30" s="14"/>
      <c r="I30" s="17" t="str">
        <f aca="false">IF(OR(D30="",H30=""),"",D30-H30)</f>
        <v/>
      </c>
      <c r="J30" s="18" t="str">
        <f aca="false">IFERROR(I30/D30,"")</f>
        <v/>
      </c>
      <c r="K30" s="12" t="s">
        <v>686</v>
      </c>
      <c r="L30" s="19" t="str">
        <f aca="true">IF(D30="","",TODAY())</f>
        <v/>
      </c>
      <c r="M30" s="12" t="str">
        <f aca="false">IF(D30="","Pendiente",IF(H30="","Precio cargado; falta costo","Completo"))</f>
        <v>Pendiente</v>
      </c>
      <c r="N30" s="20"/>
      <c r="O30" s="2"/>
      <c r="P30" s="2"/>
      <c r="Q30" s="2"/>
      <c r="R30" s="2"/>
      <c r="S30" s="2"/>
      <c r="T30" s="2"/>
      <c r="U30" s="2"/>
      <c r="V30" s="2"/>
      <c r="W30" s="2"/>
      <c r="X30" s="2"/>
      <c r="Y30" s="2"/>
      <c r="Z30" s="2"/>
    </row>
    <row r="31" customFormat="false" ht="42" hidden="false" customHeight="true" outlineLevel="0" collapsed="false">
      <c r="A31" s="12" t="s">
        <v>362</v>
      </c>
      <c r="B31" s="12" t="s">
        <v>363</v>
      </c>
      <c r="C31" s="12" t="s">
        <v>833</v>
      </c>
      <c r="D31" s="14"/>
      <c r="E31" s="15"/>
      <c r="F31" s="15"/>
      <c r="G31" s="16" t="str">
        <f aca="false">IF(OR(D31="",TC_USD=""),"",D31/TC_USD)</f>
        <v/>
      </c>
      <c r="H31" s="14"/>
      <c r="I31" s="17" t="str">
        <f aca="false">IF(OR(D31="",H31=""),"",D31-H31)</f>
        <v/>
      </c>
      <c r="J31" s="18" t="str">
        <f aca="false">IFERROR(I31/D31,"")</f>
        <v/>
      </c>
      <c r="K31" s="12" t="s">
        <v>686</v>
      </c>
      <c r="L31" s="19" t="str">
        <f aca="true">IF(D31="","",TODAY())</f>
        <v/>
      </c>
      <c r="M31" s="12" t="str">
        <f aca="false">IF(D31="","Pendiente",IF(H31="","Precio cargado; falta costo","Completo"))</f>
        <v>Pendiente</v>
      </c>
      <c r="N31" s="20"/>
      <c r="O31" s="2"/>
      <c r="P31" s="2"/>
      <c r="Q31" s="2"/>
      <c r="R31" s="2"/>
      <c r="S31" s="2"/>
      <c r="T31" s="2"/>
      <c r="U31" s="2"/>
      <c r="V31" s="2"/>
      <c r="W31" s="2"/>
      <c r="X31" s="2"/>
      <c r="Y31" s="2"/>
      <c r="Z31" s="2"/>
    </row>
    <row r="32" customFormat="false" ht="42" hidden="false" customHeight="true" outlineLevel="0" collapsed="false">
      <c r="A32" s="12" t="s">
        <v>369</v>
      </c>
      <c r="B32" s="12" t="s">
        <v>370</v>
      </c>
      <c r="C32" s="12" t="s">
        <v>833</v>
      </c>
      <c r="D32" s="14"/>
      <c r="E32" s="15"/>
      <c r="F32" s="15"/>
      <c r="G32" s="16" t="str">
        <f aca="false">IF(OR(D32="",TC_USD=""),"",D32/TC_USD)</f>
        <v/>
      </c>
      <c r="H32" s="14"/>
      <c r="I32" s="17" t="str">
        <f aca="false">IF(OR(D32="",H32=""),"",D32-H32)</f>
        <v/>
      </c>
      <c r="J32" s="18" t="str">
        <f aca="false">IFERROR(I32/D32,"")</f>
        <v/>
      </c>
      <c r="K32" s="12" t="s">
        <v>686</v>
      </c>
      <c r="L32" s="19" t="str">
        <f aca="true">IF(D32="","",TODAY())</f>
        <v/>
      </c>
      <c r="M32" s="12" t="str">
        <f aca="false">IF(D32="","Pendiente",IF(H32="","Precio cargado; falta costo","Completo"))</f>
        <v>Pendiente</v>
      </c>
      <c r="N32" s="20"/>
      <c r="O32" s="2"/>
      <c r="P32" s="2"/>
      <c r="Q32" s="2"/>
      <c r="R32" s="2"/>
      <c r="S32" s="2"/>
      <c r="T32" s="2"/>
      <c r="U32" s="2"/>
      <c r="V32" s="2"/>
      <c r="W32" s="2"/>
      <c r="X32" s="2"/>
      <c r="Y32" s="2"/>
      <c r="Z32" s="2"/>
    </row>
    <row r="33" customFormat="false" ht="42" hidden="false" customHeight="true" outlineLevel="0" collapsed="false">
      <c r="A33" s="12" t="s">
        <v>378</v>
      </c>
      <c r="B33" s="12" t="s">
        <v>379</v>
      </c>
      <c r="C33" s="12" t="s">
        <v>833</v>
      </c>
      <c r="D33" s="14"/>
      <c r="E33" s="15"/>
      <c r="F33" s="15"/>
      <c r="G33" s="16" t="str">
        <f aca="false">IF(OR(D33="",TC_USD=""),"",D33/TC_USD)</f>
        <v/>
      </c>
      <c r="H33" s="14"/>
      <c r="I33" s="17" t="str">
        <f aca="false">IF(OR(D33="",H33=""),"",D33-H33)</f>
        <v/>
      </c>
      <c r="J33" s="18" t="str">
        <f aca="false">IFERROR(I33/D33,"")</f>
        <v/>
      </c>
      <c r="K33" s="12" t="s">
        <v>686</v>
      </c>
      <c r="L33" s="19" t="str">
        <f aca="true">IF(D33="","",TODAY())</f>
        <v/>
      </c>
      <c r="M33" s="12" t="str">
        <f aca="false">IF(D33="","Pendiente",IF(H33="","Precio cargado; falta costo","Completo"))</f>
        <v>Pendiente</v>
      </c>
      <c r="N33" s="20"/>
      <c r="O33" s="2"/>
      <c r="P33" s="2"/>
      <c r="Q33" s="2"/>
      <c r="R33" s="2"/>
      <c r="S33" s="2"/>
      <c r="T33" s="2"/>
      <c r="U33" s="2"/>
      <c r="V33" s="2"/>
      <c r="W33" s="2"/>
      <c r="X33" s="2"/>
      <c r="Y33" s="2"/>
      <c r="Z33" s="2"/>
    </row>
    <row r="34" customFormat="false" ht="42" hidden="false" customHeight="true" outlineLevel="0" collapsed="false">
      <c r="A34" s="12" t="s">
        <v>387</v>
      </c>
      <c r="B34" s="12" t="s">
        <v>388</v>
      </c>
      <c r="C34" s="12" t="s">
        <v>833</v>
      </c>
      <c r="D34" s="14"/>
      <c r="E34" s="15"/>
      <c r="F34" s="15"/>
      <c r="G34" s="16" t="str">
        <f aca="false">IF(OR(D34="",TC_USD=""),"",D34/TC_USD)</f>
        <v/>
      </c>
      <c r="H34" s="14"/>
      <c r="I34" s="17" t="str">
        <f aca="false">IF(OR(D34="",H34=""),"",D34-H34)</f>
        <v/>
      </c>
      <c r="J34" s="18" t="str">
        <f aca="false">IFERROR(I34/D34,"")</f>
        <v/>
      </c>
      <c r="K34" s="12" t="s">
        <v>686</v>
      </c>
      <c r="L34" s="19" t="str">
        <f aca="true">IF(D34="","",TODAY())</f>
        <v/>
      </c>
      <c r="M34" s="12" t="str">
        <f aca="false">IF(D34="","Pendiente",IF(H34="","Precio cargado; falta costo","Completo"))</f>
        <v>Pendiente</v>
      </c>
      <c r="N34" s="20"/>
      <c r="O34" s="2"/>
      <c r="P34" s="2"/>
      <c r="Q34" s="2"/>
      <c r="R34" s="2"/>
      <c r="S34" s="2"/>
      <c r="T34" s="2"/>
      <c r="U34" s="2"/>
      <c r="V34" s="2"/>
      <c r="W34" s="2"/>
      <c r="X34" s="2"/>
      <c r="Y34" s="2"/>
      <c r="Z34" s="2"/>
    </row>
    <row r="35" customFormat="false" ht="42" hidden="false" customHeight="true" outlineLevel="0" collapsed="false">
      <c r="A35" s="12" t="s">
        <v>396</v>
      </c>
      <c r="B35" s="12" t="s">
        <v>397</v>
      </c>
      <c r="C35" s="12" t="s">
        <v>833</v>
      </c>
      <c r="D35" s="14"/>
      <c r="E35" s="15"/>
      <c r="F35" s="15"/>
      <c r="G35" s="16" t="str">
        <f aca="false">IF(OR(D35="",TC_USD=""),"",D35/TC_USD)</f>
        <v/>
      </c>
      <c r="H35" s="14"/>
      <c r="I35" s="17" t="str">
        <f aca="false">IF(OR(D35="",H35=""),"",D35-H35)</f>
        <v/>
      </c>
      <c r="J35" s="18" t="str">
        <f aca="false">IFERROR(I35/D35,"")</f>
        <v/>
      </c>
      <c r="K35" s="12" t="s">
        <v>686</v>
      </c>
      <c r="L35" s="19" t="str">
        <f aca="true">IF(D35="","",TODAY())</f>
        <v/>
      </c>
      <c r="M35" s="12" t="str">
        <f aca="false">IF(D35="","Pendiente",IF(H35="","Precio cargado; falta costo","Completo"))</f>
        <v>Pendiente</v>
      </c>
      <c r="N35" s="20"/>
      <c r="O35" s="2"/>
      <c r="P35" s="2"/>
      <c r="Q35" s="2"/>
      <c r="R35" s="2"/>
      <c r="S35" s="2"/>
      <c r="T35" s="2"/>
      <c r="U35" s="2"/>
      <c r="V35" s="2"/>
      <c r="W35" s="2"/>
      <c r="X35" s="2"/>
      <c r="Y35" s="2"/>
      <c r="Z35" s="2"/>
    </row>
    <row r="36" customFormat="false" ht="42" hidden="false" customHeight="true" outlineLevel="0" collapsed="false">
      <c r="A36" s="12" t="s">
        <v>407</v>
      </c>
      <c r="B36" s="12" t="s">
        <v>408</v>
      </c>
      <c r="C36" s="12" t="s">
        <v>833</v>
      </c>
      <c r="D36" s="14"/>
      <c r="E36" s="15"/>
      <c r="F36" s="15"/>
      <c r="G36" s="16" t="str">
        <f aca="false">IF(OR(D36="",TC_USD=""),"",D36/TC_USD)</f>
        <v/>
      </c>
      <c r="H36" s="14"/>
      <c r="I36" s="17" t="str">
        <f aca="false">IF(OR(D36="",H36=""),"",D36-H36)</f>
        <v/>
      </c>
      <c r="J36" s="18" t="str">
        <f aca="false">IFERROR(I36/D36,"")</f>
        <v/>
      </c>
      <c r="K36" s="12" t="s">
        <v>686</v>
      </c>
      <c r="L36" s="19" t="str">
        <f aca="true">IF(D36="","",TODAY())</f>
        <v/>
      </c>
      <c r="M36" s="12" t="str">
        <f aca="false">IF(D36="","Pendiente",IF(H36="","Precio cargado; falta costo","Completo"))</f>
        <v>Pendiente</v>
      </c>
      <c r="N36" s="20"/>
      <c r="O36" s="2"/>
      <c r="P36" s="2"/>
      <c r="Q36" s="2"/>
      <c r="R36" s="2"/>
      <c r="S36" s="2"/>
      <c r="T36" s="2"/>
      <c r="U36" s="2"/>
      <c r="V36" s="2"/>
      <c r="W36" s="2"/>
      <c r="X36" s="2"/>
      <c r="Y36" s="2"/>
      <c r="Z36" s="2"/>
    </row>
    <row r="37" customFormat="false" ht="42" hidden="false" customHeight="true" outlineLevel="0" collapsed="false">
      <c r="A37" s="12" t="s">
        <v>418</v>
      </c>
      <c r="B37" s="12" t="s">
        <v>419</v>
      </c>
      <c r="C37" s="12" t="s">
        <v>833</v>
      </c>
      <c r="D37" s="14"/>
      <c r="E37" s="15"/>
      <c r="F37" s="15"/>
      <c r="G37" s="16" t="str">
        <f aca="false">IF(OR(D37="",TC_USD=""),"",D37/TC_USD)</f>
        <v/>
      </c>
      <c r="H37" s="14"/>
      <c r="I37" s="17" t="str">
        <f aca="false">IF(OR(D37="",H37=""),"",D37-H37)</f>
        <v/>
      </c>
      <c r="J37" s="18" t="str">
        <f aca="false">IFERROR(I37/D37,"")</f>
        <v/>
      </c>
      <c r="K37" s="12" t="s">
        <v>686</v>
      </c>
      <c r="L37" s="19" t="str">
        <f aca="true">IF(D37="","",TODAY())</f>
        <v/>
      </c>
      <c r="M37" s="12" t="str">
        <f aca="false">IF(D37="","Pendiente",IF(H37="","Precio cargado; falta costo","Completo"))</f>
        <v>Pendiente</v>
      </c>
      <c r="N37" s="20"/>
      <c r="O37" s="2"/>
      <c r="P37" s="2"/>
      <c r="Q37" s="2"/>
      <c r="R37" s="2"/>
      <c r="S37" s="2"/>
      <c r="T37" s="2"/>
      <c r="U37" s="2"/>
      <c r="V37" s="2"/>
      <c r="W37" s="2"/>
      <c r="X37" s="2"/>
      <c r="Y37" s="2"/>
      <c r="Z37" s="2"/>
    </row>
    <row r="38" customFormat="false" ht="42" hidden="false" customHeight="true" outlineLevel="0" collapsed="false">
      <c r="A38" s="12" t="s">
        <v>429</v>
      </c>
      <c r="B38" s="12" t="s">
        <v>430</v>
      </c>
      <c r="C38" s="12" t="s">
        <v>833</v>
      </c>
      <c r="D38" s="14"/>
      <c r="E38" s="15"/>
      <c r="F38" s="15"/>
      <c r="G38" s="16" t="str">
        <f aca="false">IF(OR(D38="",TC_USD=""),"",D38/TC_USD)</f>
        <v/>
      </c>
      <c r="H38" s="14"/>
      <c r="I38" s="17" t="str">
        <f aca="false">IF(OR(D38="",H38=""),"",D38-H38)</f>
        <v/>
      </c>
      <c r="J38" s="18" t="str">
        <f aca="false">IFERROR(I38/D38,"")</f>
        <v/>
      </c>
      <c r="K38" s="12" t="s">
        <v>686</v>
      </c>
      <c r="L38" s="19" t="str">
        <f aca="true">IF(D38="","",TODAY())</f>
        <v/>
      </c>
      <c r="M38" s="12" t="str">
        <f aca="false">IF(D38="","Pendiente",IF(H38="","Precio cargado; falta costo","Completo"))</f>
        <v>Pendiente</v>
      </c>
      <c r="N38" s="20"/>
      <c r="O38" s="2"/>
      <c r="P38" s="2"/>
      <c r="Q38" s="2"/>
      <c r="R38" s="2"/>
      <c r="S38" s="2"/>
      <c r="T38" s="2"/>
      <c r="U38" s="2"/>
      <c r="V38" s="2"/>
      <c r="W38" s="2"/>
      <c r="X38" s="2"/>
      <c r="Y38" s="2"/>
      <c r="Z38" s="2"/>
    </row>
    <row r="39" customFormat="false" ht="42" hidden="false" customHeight="true" outlineLevel="0" collapsed="false">
      <c r="A39" s="12" t="s">
        <v>439</v>
      </c>
      <c r="B39" s="12" t="s">
        <v>440</v>
      </c>
      <c r="C39" s="12" t="s">
        <v>833</v>
      </c>
      <c r="D39" s="14"/>
      <c r="E39" s="15"/>
      <c r="F39" s="15"/>
      <c r="G39" s="16" t="str">
        <f aca="false">IF(OR(D39="",TC_USD=""),"",D39/TC_USD)</f>
        <v/>
      </c>
      <c r="H39" s="14"/>
      <c r="I39" s="17" t="str">
        <f aca="false">IF(OR(D39="",H39=""),"",D39-H39)</f>
        <v/>
      </c>
      <c r="J39" s="18" t="str">
        <f aca="false">IFERROR(I39/D39,"")</f>
        <v/>
      </c>
      <c r="K39" s="12" t="s">
        <v>686</v>
      </c>
      <c r="L39" s="19" t="str">
        <f aca="true">IF(D39="","",TODAY())</f>
        <v/>
      </c>
      <c r="M39" s="12" t="str">
        <f aca="false">IF(D39="","Pendiente",IF(H39="","Precio cargado; falta costo","Completo"))</f>
        <v>Pendiente</v>
      </c>
      <c r="N39" s="20"/>
      <c r="O39" s="2"/>
      <c r="P39" s="2"/>
      <c r="Q39" s="2"/>
      <c r="R39" s="2"/>
      <c r="S39" s="2"/>
      <c r="T39" s="2"/>
      <c r="U39" s="2"/>
      <c r="V39" s="2"/>
      <c r="W39" s="2"/>
      <c r="X39" s="2"/>
      <c r="Y39" s="2"/>
      <c r="Z39" s="2"/>
    </row>
    <row r="40" customFormat="false" ht="42" hidden="false" customHeight="true" outlineLevel="0" collapsed="false">
      <c r="A40" s="12" t="s">
        <v>450</v>
      </c>
      <c r="B40" s="12" t="s">
        <v>451</v>
      </c>
      <c r="C40" s="12" t="s">
        <v>833</v>
      </c>
      <c r="D40" s="14"/>
      <c r="E40" s="15"/>
      <c r="F40" s="15"/>
      <c r="G40" s="16" t="str">
        <f aca="false">IF(OR(D40="",TC_USD=""),"",D40/TC_USD)</f>
        <v/>
      </c>
      <c r="H40" s="14"/>
      <c r="I40" s="17" t="str">
        <f aca="false">IF(OR(D40="",H40=""),"",D40-H40)</f>
        <v/>
      </c>
      <c r="J40" s="18" t="str">
        <f aca="false">IFERROR(I40/D40,"")</f>
        <v/>
      </c>
      <c r="K40" s="12" t="s">
        <v>686</v>
      </c>
      <c r="L40" s="19" t="str">
        <f aca="true">IF(D40="","",TODAY())</f>
        <v/>
      </c>
      <c r="M40" s="12" t="str">
        <f aca="false">IF(D40="","Pendiente",IF(H40="","Precio cargado; falta costo","Completo"))</f>
        <v>Pendiente</v>
      </c>
      <c r="N40" s="20"/>
      <c r="O40" s="2"/>
      <c r="P40" s="2"/>
      <c r="Q40" s="2"/>
      <c r="R40" s="2"/>
      <c r="S40" s="2"/>
      <c r="T40" s="2"/>
      <c r="U40" s="2"/>
      <c r="V40" s="2"/>
      <c r="W40" s="2"/>
      <c r="X40" s="2"/>
      <c r="Y40" s="2"/>
      <c r="Z40" s="2"/>
    </row>
    <row r="41" customFormat="false" ht="42" hidden="false" customHeight="true" outlineLevel="0" collapsed="false">
      <c r="A41" s="12" t="s">
        <v>461</v>
      </c>
      <c r="B41" s="12" t="s">
        <v>462</v>
      </c>
      <c r="C41" s="12" t="s">
        <v>833</v>
      </c>
      <c r="D41" s="14"/>
      <c r="E41" s="15"/>
      <c r="F41" s="15"/>
      <c r="G41" s="16" t="str">
        <f aca="false">IF(OR(D41="",TC_USD=""),"",D41/TC_USD)</f>
        <v/>
      </c>
      <c r="H41" s="14"/>
      <c r="I41" s="17" t="str">
        <f aca="false">IF(OR(D41="",H41=""),"",D41-H41)</f>
        <v/>
      </c>
      <c r="J41" s="18" t="str">
        <f aca="false">IFERROR(I41/D41,"")</f>
        <v/>
      </c>
      <c r="K41" s="12" t="s">
        <v>686</v>
      </c>
      <c r="L41" s="19" t="str">
        <f aca="true">IF(D41="","",TODAY())</f>
        <v/>
      </c>
      <c r="M41" s="12" t="str">
        <f aca="false">IF(D41="","Pendiente",IF(H41="","Precio cargado; falta costo","Completo"))</f>
        <v>Pendiente</v>
      </c>
      <c r="N41" s="20"/>
      <c r="O41" s="2"/>
      <c r="P41" s="2"/>
      <c r="Q41" s="2"/>
      <c r="R41" s="2"/>
      <c r="S41" s="2"/>
      <c r="T41" s="2"/>
      <c r="U41" s="2"/>
      <c r="V41" s="2"/>
      <c r="W41" s="2"/>
      <c r="X41" s="2"/>
      <c r="Y41" s="2"/>
      <c r="Z41" s="2"/>
    </row>
    <row r="42" customFormat="false" ht="42" hidden="false" customHeight="true" outlineLevel="0" collapsed="false">
      <c r="A42" s="12" t="s">
        <v>471</v>
      </c>
      <c r="B42" s="12" t="s">
        <v>472</v>
      </c>
      <c r="C42" s="12" t="s">
        <v>833</v>
      </c>
      <c r="D42" s="14"/>
      <c r="E42" s="15"/>
      <c r="F42" s="15"/>
      <c r="G42" s="16" t="str">
        <f aca="false">IF(OR(D42="",TC_USD=""),"",D42/TC_USD)</f>
        <v/>
      </c>
      <c r="H42" s="14"/>
      <c r="I42" s="17" t="str">
        <f aca="false">IF(OR(D42="",H42=""),"",D42-H42)</f>
        <v/>
      </c>
      <c r="J42" s="18" t="str">
        <f aca="false">IFERROR(I42/D42,"")</f>
        <v/>
      </c>
      <c r="K42" s="12" t="s">
        <v>686</v>
      </c>
      <c r="L42" s="19" t="str">
        <f aca="true">IF(D42="","",TODAY())</f>
        <v/>
      </c>
      <c r="M42" s="12" t="str">
        <f aca="false">IF(D42="","Pendiente",IF(H42="","Precio cargado; falta costo","Completo"))</f>
        <v>Pendiente</v>
      </c>
      <c r="N42" s="20"/>
      <c r="O42" s="2"/>
      <c r="P42" s="2"/>
      <c r="Q42" s="2"/>
      <c r="R42" s="2"/>
      <c r="S42" s="2"/>
      <c r="T42" s="2"/>
      <c r="U42" s="2"/>
      <c r="V42" s="2"/>
      <c r="W42" s="2"/>
      <c r="X42" s="2"/>
      <c r="Y42" s="2"/>
      <c r="Z42" s="2"/>
    </row>
    <row r="43" customFormat="false" ht="42" hidden="false" customHeight="true" outlineLevel="0" collapsed="false">
      <c r="A43" s="12" t="s">
        <v>482</v>
      </c>
      <c r="B43" s="12" t="s">
        <v>483</v>
      </c>
      <c r="C43" s="12" t="s">
        <v>833</v>
      </c>
      <c r="D43" s="14"/>
      <c r="E43" s="15"/>
      <c r="F43" s="15"/>
      <c r="G43" s="16" t="str">
        <f aca="false">IF(OR(D43="",TC_USD=""),"",D43/TC_USD)</f>
        <v/>
      </c>
      <c r="H43" s="14"/>
      <c r="I43" s="17" t="str">
        <f aca="false">IF(OR(D43="",H43=""),"",D43-H43)</f>
        <v/>
      </c>
      <c r="J43" s="18" t="str">
        <f aca="false">IFERROR(I43/D43,"")</f>
        <v/>
      </c>
      <c r="K43" s="12" t="s">
        <v>686</v>
      </c>
      <c r="L43" s="19" t="str">
        <f aca="true">IF(D43="","",TODAY())</f>
        <v/>
      </c>
      <c r="M43" s="12" t="str">
        <f aca="false">IF(D43="","Pendiente",IF(H43="","Precio cargado; falta costo","Completo"))</f>
        <v>Pendiente</v>
      </c>
      <c r="N43" s="20"/>
      <c r="O43" s="2"/>
      <c r="P43" s="2"/>
      <c r="Q43" s="2"/>
      <c r="R43" s="2"/>
      <c r="S43" s="2"/>
      <c r="T43" s="2"/>
      <c r="U43" s="2"/>
      <c r="V43" s="2"/>
      <c r="W43" s="2"/>
      <c r="X43" s="2"/>
      <c r="Y43" s="2"/>
      <c r="Z43" s="2"/>
    </row>
    <row r="44" customFormat="false" ht="42" hidden="false" customHeight="true" outlineLevel="0" collapsed="false">
      <c r="A44" s="12" t="s">
        <v>493</v>
      </c>
      <c r="B44" s="12" t="s">
        <v>494</v>
      </c>
      <c r="C44" s="12" t="s">
        <v>833</v>
      </c>
      <c r="D44" s="14"/>
      <c r="E44" s="15"/>
      <c r="F44" s="15"/>
      <c r="G44" s="16" t="str">
        <f aca="false">IF(OR(D44="",TC_USD=""),"",D44/TC_USD)</f>
        <v/>
      </c>
      <c r="H44" s="14"/>
      <c r="I44" s="17" t="str">
        <f aca="false">IF(OR(D44="",H44=""),"",D44-H44)</f>
        <v/>
      </c>
      <c r="J44" s="18" t="str">
        <f aca="false">IFERROR(I44/D44,"")</f>
        <v/>
      </c>
      <c r="K44" s="12" t="s">
        <v>686</v>
      </c>
      <c r="L44" s="19" t="str">
        <f aca="true">IF(D44="","",TODAY())</f>
        <v/>
      </c>
      <c r="M44" s="12" t="str">
        <f aca="false">IF(D44="","Pendiente",IF(H44="","Precio cargado; falta costo","Completo"))</f>
        <v>Pendiente</v>
      </c>
      <c r="N44" s="20"/>
      <c r="O44" s="2"/>
      <c r="P44" s="2"/>
      <c r="Q44" s="2"/>
      <c r="R44" s="2"/>
      <c r="S44" s="2"/>
      <c r="T44" s="2"/>
      <c r="U44" s="2"/>
      <c r="V44" s="2"/>
      <c r="W44" s="2"/>
      <c r="X44" s="2"/>
      <c r="Y44" s="2"/>
      <c r="Z44" s="2"/>
    </row>
    <row r="45" customFormat="false" ht="42" hidden="false" customHeight="true" outlineLevel="0" collapsed="false">
      <c r="A45" s="12" t="s">
        <v>504</v>
      </c>
      <c r="B45" s="12" t="s">
        <v>505</v>
      </c>
      <c r="C45" s="12" t="s">
        <v>833</v>
      </c>
      <c r="D45" s="14"/>
      <c r="E45" s="15"/>
      <c r="F45" s="15"/>
      <c r="G45" s="16" t="str">
        <f aca="false">IF(OR(D45="",TC_USD=""),"",D45/TC_USD)</f>
        <v/>
      </c>
      <c r="H45" s="14"/>
      <c r="I45" s="17" t="str">
        <f aca="false">IF(OR(D45="",H45=""),"",D45-H45)</f>
        <v/>
      </c>
      <c r="J45" s="18" t="str">
        <f aca="false">IFERROR(I45/D45,"")</f>
        <v/>
      </c>
      <c r="K45" s="12" t="s">
        <v>686</v>
      </c>
      <c r="L45" s="19" t="str">
        <f aca="true">IF(D45="","",TODAY())</f>
        <v/>
      </c>
      <c r="M45" s="12" t="str">
        <f aca="false">IF(D45="","Pendiente",IF(H45="","Precio cargado; falta costo","Completo"))</f>
        <v>Pendiente</v>
      </c>
      <c r="N45" s="20"/>
      <c r="O45" s="2"/>
      <c r="P45" s="2"/>
      <c r="Q45" s="2"/>
      <c r="R45" s="2"/>
      <c r="S45" s="2"/>
      <c r="T45" s="2"/>
      <c r="U45" s="2"/>
      <c r="V45" s="2"/>
      <c r="W45" s="2"/>
      <c r="X45" s="2"/>
      <c r="Y45" s="2"/>
      <c r="Z45" s="2"/>
    </row>
    <row r="46" customFormat="false" ht="42" hidden="false" customHeight="true" outlineLevel="0" collapsed="false">
      <c r="A46" s="12" t="s">
        <v>515</v>
      </c>
      <c r="B46" s="12" t="s">
        <v>516</v>
      </c>
      <c r="C46" s="12" t="s">
        <v>833</v>
      </c>
      <c r="D46" s="14"/>
      <c r="E46" s="15"/>
      <c r="F46" s="15"/>
      <c r="G46" s="16" t="str">
        <f aca="false">IF(OR(D46="",TC_USD=""),"",D46/TC_USD)</f>
        <v/>
      </c>
      <c r="H46" s="14"/>
      <c r="I46" s="17" t="str">
        <f aca="false">IF(OR(D46="",H46=""),"",D46-H46)</f>
        <v/>
      </c>
      <c r="J46" s="18" t="str">
        <f aca="false">IFERROR(I46/D46,"")</f>
        <v/>
      </c>
      <c r="K46" s="12" t="s">
        <v>686</v>
      </c>
      <c r="L46" s="19" t="str">
        <f aca="true">IF(D46="","",TODAY())</f>
        <v/>
      </c>
      <c r="M46" s="12" t="str">
        <f aca="false">IF(D46="","Pendiente",IF(H46="","Precio cargado; falta costo","Completo"))</f>
        <v>Pendiente</v>
      </c>
      <c r="N46" s="20"/>
      <c r="O46" s="2"/>
      <c r="P46" s="2"/>
      <c r="Q46" s="2"/>
      <c r="R46" s="2"/>
      <c r="S46" s="2"/>
      <c r="T46" s="2"/>
      <c r="U46" s="2"/>
      <c r="V46" s="2"/>
      <c r="W46" s="2"/>
      <c r="X46" s="2"/>
      <c r="Y46" s="2"/>
      <c r="Z46" s="2"/>
    </row>
    <row r="47" customFormat="false" ht="42" hidden="false" customHeight="true" outlineLevel="0" collapsed="false">
      <c r="A47" s="12" t="s">
        <v>526</v>
      </c>
      <c r="B47" s="12" t="s">
        <v>527</v>
      </c>
      <c r="C47" s="12" t="s">
        <v>833</v>
      </c>
      <c r="D47" s="14"/>
      <c r="E47" s="15"/>
      <c r="F47" s="15"/>
      <c r="G47" s="16" t="str">
        <f aca="false">IF(OR(D47="",TC_USD=""),"",D47/TC_USD)</f>
        <v/>
      </c>
      <c r="H47" s="14"/>
      <c r="I47" s="17" t="str">
        <f aca="false">IF(OR(D47="",H47=""),"",D47-H47)</f>
        <v/>
      </c>
      <c r="J47" s="18" t="str">
        <f aca="false">IFERROR(I47/D47,"")</f>
        <v/>
      </c>
      <c r="K47" s="12" t="s">
        <v>686</v>
      </c>
      <c r="L47" s="19" t="str">
        <f aca="true">IF(D47="","",TODAY())</f>
        <v/>
      </c>
      <c r="M47" s="12" t="str">
        <f aca="false">IF(D47="","Pendiente",IF(H47="","Precio cargado; falta costo","Completo"))</f>
        <v>Pendiente</v>
      </c>
      <c r="N47" s="20"/>
      <c r="O47" s="2"/>
      <c r="P47" s="2"/>
      <c r="Q47" s="2"/>
      <c r="R47" s="2"/>
      <c r="S47" s="2"/>
      <c r="T47" s="2"/>
      <c r="U47" s="2"/>
      <c r="V47" s="2"/>
      <c r="W47" s="2"/>
      <c r="X47" s="2"/>
      <c r="Y47" s="2"/>
      <c r="Z47" s="2"/>
    </row>
    <row r="48" customFormat="false" ht="42" hidden="false" customHeight="true" outlineLevel="0" collapsed="false">
      <c r="A48" s="12" t="s">
        <v>537</v>
      </c>
      <c r="B48" s="12" t="s">
        <v>538</v>
      </c>
      <c r="C48" s="12" t="s">
        <v>833</v>
      </c>
      <c r="D48" s="14"/>
      <c r="E48" s="15"/>
      <c r="F48" s="15"/>
      <c r="G48" s="16" t="str">
        <f aca="false">IF(OR(D48="",TC_USD=""),"",D48/TC_USD)</f>
        <v/>
      </c>
      <c r="H48" s="14"/>
      <c r="I48" s="17" t="str">
        <f aca="false">IF(OR(D48="",H48=""),"",D48-H48)</f>
        <v/>
      </c>
      <c r="J48" s="18" t="str">
        <f aca="false">IFERROR(I48/D48,"")</f>
        <v/>
      </c>
      <c r="K48" s="12" t="s">
        <v>686</v>
      </c>
      <c r="L48" s="19" t="str">
        <f aca="true">IF(D48="","",TODAY())</f>
        <v/>
      </c>
      <c r="M48" s="12" t="str">
        <f aca="false">IF(D48="","Pendiente",IF(H48="","Precio cargado; falta costo","Completo"))</f>
        <v>Pendiente</v>
      </c>
      <c r="N48" s="20"/>
      <c r="O48" s="2"/>
      <c r="P48" s="2"/>
      <c r="Q48" s="2"/>
      <c r="R48" s="2"/>
      <c r="S48" s="2"/>
      <c r="T48" s="2"/>
      <c r="U48" s="2"/>
      <c r="V48" s="2"/>
      <c r="W48" s="2"/>
      <c r="X48" s="2"/>
      <c r="Y48" s="2"/>
      <c r="Z48" s="2"/>
    </row>
    <row r="49" customFormat="false" ht="42" hidden="false" customHeight="true" outlineLevel="0" collapsed="false">
      <c r="A49" s="12" t="s">
        <v>548</v>
      </c>
      <c r="B49" s="12" t="s">
        <v>549</v>
      </c>
      <c r="C49" s="12" t="s">
        <v>833</v>
      </c>
      <c r="D49" s="14"/>
      <c r="E49" s="15"/>
      <c r="F49" s="15"/>
      <c r="G49" s="16" t="str">
        <f aca="false">IF(OR(D49="",TC_USD=""),"",D49/TC_USD)</f>
        <v/>
      </c>
      <c r="H49" s="14"/>
      <c r="I49" s="17" t="str">
        <f aca="false">IF(OR(D49="",H49=""),"",D49-H49)</f>
        <v/>
      </c>
      <c r="J49" s="18" t="str">
        <f aca="false">IFERROR(I49/D49,"")</f>
        <v/>
      </c>
      <c r="K49" s="12" t="s">
        <v>686</v>
      </c>
      <c r="L49" s="19" t="str">
        <f aca="true">IF(D49="","",TODAY())</f>
        <v/>
      </c>
      <c r="M49" s="12" t="str">
        <f aca="false">IF(D49="","Pendiente",IF(H49="","Precio cargado; falta costo","Completo"))</f>
        <v>Pendiente</v>
      </c>
      <c r="N49" s="20"/>
      <c r="O49" s="2"/>
      <c r="P49" s="2"/>
      <c r="Q49" s="2"/>
      <c r="R49" s="2"/>
      <c r="S49" s="2"/>
      <c r="T49" s="2"/>
      <c r="U49" s="2"/>
      <c r="V49" s="2"/>
      <c r="W49" s="2"/>
      <c r="X49" s="2"/>
      <c r="Y49" s="2"/>
      <c r="Z49" s="2"/>
    </row>
    <row r="50" customFormat="false" ht="42" hidden="false" customHeight="true" outlineLevel="0" collapsed="false">
      <c r="A50" s="12" t="s">
        <v>559</v>
      </c>
      <c r="B50" s="12" t="s">
        <v>560</v>
      </c>
      <c r="C50" s="12" t="s">
        <v>833</v>
      </c>
      <c r="D50" s="14"/>
      <c r="E50" s="15"/>
      <c r="F50" s="15"/>
      <c r="G50" s="16" t="str">
        <f aca="false">IF(OR(D50="",TC_USD=""),"",D50/TC_USD)</f>
        <v/>
      </c>
      <c r="H50" s="14"/>
      <c r="I50" s="17" t="str">
        <f aca="false">IF(OR(D50="",H50=""),"",D50-H50)</f>
        <v/>
      </c>
      <c r="J50" s="18" t="str">
        <f aca="false">IFERROR(I50/D50,"")</f>
        <v/>
      </c>
      <c r="K50" s="12" t="s">
        <v>686</v>
      </c>
      <c r="L50" s="19" t="str">
        <f aca="true">IF(D50="","",TODAY())</f>
        <v/>
      </c>
      <c r="M50" s="12" t="str">
        <f aca="false">IF(D50="","Pendiente",IF(H50="","Precio cargado; falta costo","Completo"))</f>
        <v>Pendiente</v>
      </c>
      <c r="N50" s="20"/>
      <c r="O50" s="2"/>
      <c r="P50" s="2"/>
      <c r="Q50" s="2"/>
      <c r="R50" s="2"/>
      <c r="S50" s="2"/>
      <c r="T50" s="2"/>
      <c r="U50" s="2"/>
      <c r="V50" s="2"/>
      <c r="W50" s="2"/>
      <c r="X50" s="2"/>
      <c r="Y50" s="2"/>
      <c r="Z50" s="2"/>
    </row>
    <row r="51" customFormat="false" ht="42" hidden="false" customHeight="true" outlineLevel="0" collapsed="false">
      <c r="A51" s="12" t="s">
        <v>570</v>
      </c>
      <c r="B51" s="12" t="s">
        <v>571</v>
      </c>
      <c r="C51" s="12" t="s">
        <v>833</v>
      </c>
      <c r="D51" s="14"/>
      <c r="E51" s="15"/>
      <c r="F51" s="15"/>
      <c r="G51" s="16" t="str">
        <f aca="false">IF(OR(D51="",TC_USD=""),"",D51/TC_USD)</f>
        <v/>
      </c>
      <c r="H51" s="14"/>
      <c r="I51" s="17" t="str">
        <f aca="false">IF(OR(D51="",H51=""),"",D51-H51)</f>
        <v/>
      </c>
      <c r="J51" s="18" t="str">
        <f aca="false">IFERROR(I51/D51,"")</f>
        <v/>
      </c>
      <c r="K51" s="12" t="s">
        <v>686</v>
      </c>
      <c r="L51" s="19" t="str">
        <f aca="true">IF(D51="","",TODAY())</f>
        <v/>
      </c>
      <c r="M51" s="12" t="str">
        <f aca="false">IF(D51="","Pendiente",IF(H51="","Precio cargado; falta costo","Completo"))</f>
        <v>Pendiente</v>
      </c>
      <c r="N51" s="20"/>
      <c r="O51" s="2"/>
      <c r="P51" s="2"/>
      <c r="Q51" s="2"/>
      <c r="R51" s="2"/>
      <c r="S51" s="2"/>
      <c r="T51" s="2"/>
      <c r="U51" s="2"/>
      <c r="V51" s="2"/>
      <c r="W51" s="2"/>
      <c r="X51" s="2"/>
      <c r="Y51" s="2"/>
      <c r="Z51" s="2"/>
    </row>
    <row r="52" customFormat="false" ht="42" hidden="false" customHeight="true" outlineLevel="0" collapsed="false">
      <c r="A52" s="12" t="s">
        <v>581</v>
      </c>
      <c r="B52" s="12" t="s">
        <v>582</v>
      </c>
      <c r="C52" s="12" t="s">
        <v>833</v>
      </c>
      <c r="D52" s="14"/>
      <c r="E52" s="15"/>
      <c r="F52" s="15"/>
      <c r="G52" s="16" t="str">
        <f aca="false">IF(OR(D52="",TC_USD=""),"",D52/TC_USD)</f>
        <v/>
      </c>
      <c r="H52" s="14"/>
      <c r="I52" s="17" t="str">
        <f aca="false">IF(OR(D52="",H52=""),"",D52-H52)</f>
        <v/>
      </c>
      <c r="J52" s="18" t="str">
        <f aca="false">IFERROR(I52/D52,"")</f>
        <v/>
      </c>
      <c r="K52" s="12" t="s">
        <v>686</v>
      </c>
      <c r="L52" s="19" t="str">
        <f aca="true">IF(D52="","",TODAY())</f>
        <v/>
      </c>
      <c r="M52" s="12" t="str">
        <f aca="false">IF(D52="","Pendiente",IF(H52="","Precio cargado; falta costo","Completo"))</f>
        <v>Pendiente</v>
      </c>
      <c r="N52" s="20"/>
      <c r="O52" s="2"/>
      <c r="P52" s="2"/>
      <c r="Q52" s="2"/>
      <c r="R52" s="2"/>
      <c r="S52" s="2"/>
      <c r="T52" s="2"/>
      <c r="U52" s="2"/>
      <c r="V52" s="2"/>
      <c r="W52" s="2"/>
      <c r="X52" s="2"/>
      <c r="Y52" s="2"/>
      <c r="Z52" s="2"/>
    </row>
    <row r="53" customFormat="false" ht="42" hidden="false" customHeight="true" outlineLevel="0" collapsed="false">
      <c r="A53" s="12" t="s">
        <v>590</v>
      </c>
      <c r="B53" s="12" t="s">
        <v>591</v>
      </c>
      <c r="C53" s="12" t="s">
        <v>833</v>
      </c>
      <c r="D53" s="14"/>
      <c r="E53" s="15"/>
      <c r="F53" s="15"/>
      <c r="G53" s="16" t="str">
        <f aca="false">IF(OR(D53="",TC_USD=""),"",D53/TC_USD)</f>
        <v/>
      </c>
      <c r="H53" s="14"/>
      <c r="I53" s="17" t="str">
        <f aca="false">IF(OR(D53="",H53=""),"",D53-H53)</f>
        <v/>
      </c>
      <c r="J53" s="18" t="str">
        <f aca="false">IFERROR(I53/D53,"")</f>
        <v/>
      </c>
      <c r="K53" s="12" t="s">
        <v>686</v>
      </c>
      <c r="L53" s="19" t="str">
        <f aca="true">IF(D53="","",TODAY())</f>
        <v/>
      </c>
      <c r="M53" s="12" t="str">
        <f aca="false">IF(D53="","Pendiente",IF(H53="","Precio cargado; falta costo","Completo"))</f>
        <v>Pendiente</v>
      </c>
      <c r="N53" s="20"/>
      <c r="O53" s="2"/>
      <c r="P53" s="2"/>
      <c r="Q53" s="2"/>
      <c r="R53" s="2"/>
      <c r="S53" s="2"/>
      <c r="T53" s="2"/>
      <c r="U53" s="2"/>
      <c r="V53" s="2"/>
      <c r="W53" s="2"/>
      <c r="X53" s="2"/>
      <c r="Y53" s="2"/>
      <c r="Z53" s="2"/>
    </row>
    <row r="54" customFormat="false" ht="42" hidden="false" customHeight="true" outlineLevel="0" collapsed="false">
      <c r="A54" s="12" t="s">
        <v>601</v>
      </c>
      <c r="B54" s="12" t="s">
        <v>602</v>
      </c>
      <c r="C54" s="12" t="s">
        <v>833</v>
      </c>
      <c r="D54" s="14"/>
      <c r="E54" s="15"/>
      <c r="F54" s="15"/>
      <c r="G54" s="16" t="str">
        <f aca="false">IF(OR(D54="",TC_USD=""),"",D54/TC_USD)</f>
        <v/>
      </c>
      <c r="H54" s="14"/>
      <c r="I54" s="17" t="str">
        <f aca="false">IF(OR(D54="",H54=""),"",D54-H54)</f>
        <v/>
      </c>
      <c r="J54" s="18" t="str">
        <f aca="false">IFERROR(I54/D54,"")</f>
        <v/>
      </c>
      <c r="K54" s="12" t="s">
        <v>686</v>
      </c>
      <c r="L54" s="19" t="str">
        <f aca="true">IF(D54="","",TODAY())</f>
        <v/>
      </c>
      <c r="M54" s="12" t="str">
        <f aca="false">IF(D54="","Pendiente",IF(H54="","Precio cargado; falta costo","Completo"))</f>
        <v>Pendiente</v>
      </c>
      <c r="N54" s="20"/>
      <c r="O54" s="2"/>
      <c r="P54" s="2"/>
      <c r="Q54" s="2"/>
      <c r="R54" s="2"/>
      <c r="S54" s="2"/>
      <c r="T54" s="2"/>
      <c r="U54" s="2"/>
      <c r="V54" s="2"/>
      <c r="W54" s="2"/>
      <c r="X54" s="2"/>
      <c r="Y54" s="2"/>
      <c r="Z54" s="2"/>
    </row>
    <row r="55" customFormat="false" ht="42" hidden="false" customHeight="true" outlineLevel="0" collapsed="false">
      <c r="A55" s="12" t="s">
        <v>612</v>
      </c>
      <c r="B55" s="12" t="s">
        <v>613</v>
      </c>
      <c r="C55" s="12" t="s">
        <v>833</v>
      </c>
      <c r="D55" s="14"/>
      <c r="E55" s="15"/>
      <c r="F55" s="15"/>
      <c r="G55" s="16" t="str">
        <f aca="false">IF(OR(D55="",TC_USD=""),"",D55/TC_USD)</f>
        <v/>
      </c>
      <c r="H55" s="14"/>
      <c r="I55" s="17" t="str">
        <f aca="false">IF(OR(D55="",H55=""),"",D55-H55)</f>
        <v/>
      </c>
      <c r="J55" s="18" t="str">
        <f aca="false">IFERROR(I55/D55,"")</f>
        <v/>
      </c>
      <c r="K55" s="12" t="s">
        <v>686</v>
      </c>
      <c r="L55" s="19" t="str">
        <f aca="true">IF(D55="","",TODAY())</f>
        <v/>
      </c>
      <c r="M55" s="12" t="str">
        <f aca="false">IF(D55="","Pendiente",IF(H55="","Precio cargado; falta costo","Completo"))</f>
        <v>Pendiente</v>
      </c>
      <c r="N55" s="20"/>
      <c r="O55" s="2"/>
      <c r="P55" s="2"/>
      <c r="Q55" s="2"/>
      <c r="R55" s="2"/>
      <c r="S55" s="2"/>
      <c r="T55" s="2"/>
      <c r="U55" s="2"/>
      <c r="V55" s="2"/>
      <c r="W55" s="2"/>
      <c r="X55" s="2"/>
      <c r="Y55" s="2"/>
      <c r="Z55" s="2"/>
    </row>
    <row r="56" customFormat="false" ht="42" hidden="false" customHeight="true" outlineLevel="0" collapsed="false">
      <c r="A56" s="12" t="s">
        <v>623</v>
      </c>
      <c r="B56" s="12" t="s">
        <v>624</v>
      </c>
      <c r="C56" s="12" t="s">
        <v>833</v>
      </c>
      <c r="D56" s="14"/>
      <c r="E56" s="15"/>
      <c r="F56" s="15"/>
      <c r="G56" s="16" t="str">
        <f aca="false">IF(OR(D56="",TC_USD=""),"",D56/TC_USD)</f>
        <v/>
      </c>
      <c r="H56" s="14"/>
      <c r="I56" s="17" t="str">
        <f aca="false">IF(OR(D56="",H56=""),"",D56-H56)</f>
        <v/>
      </c>
      <c r="J56" s="18" t="str">
        <f aca="false">IFERROR(I56/D56,"")</f>
        <v/>
      </c>
      <c r="K56" s="12" t="s">
        <v>686</v>
      </c>
      <c r="L56" s="19" t="str">
        <f aca="true">IF(D56="","",TODAY())</f>
        <v/>
      </c>
      <c r="M56" s="12" t="str">
        <f aca="false">IF(D56="","Pendiente",IF(H56="","Precio cargado; falta costo","Completo"))</f>
        <v>Pendiente</v>
      </c>
      <c r="N56" s="20"/>
      <c r="O56" s="2"/>
      <c r="P56" s="2"/>
      <c r="Q56" s="2"/>
      <c r="R56" s="2"/>
      <c r="S56" s="2"/>
      <c r="T56" s="2"/>
      <c r="U56" s="2"/>
      <c r="V56" s="2"/>
      <c r="W56" s="2"/>
      <c r="X56" s="2"/>
      <c r="Y56" s="2"/>
      <c r="Z56" s="2"/>
    </row>
    <row r="57" customFormat="false" ht="42" hidden="false" customHeight="true" outlineLevel="0" collapsed="false">
      <c r="A57" s="12" t="s">
        <v>634</v>
      </c>
      <c r="B57" s="12" t="s">
        <v>635</v>
      </c>
      <c r="C57" s="12" t="s">
        <v>833</v>
      </c>
      <c r="D57" s="14"/>
      <c r="E57" s="15"/>
      <c r="F57" s="15"/>
      <c r="G57" s="16" t="str">
        <f aca="false">IF(OR(D57="",TC_USD=""),"",D57/TC_USD)</f>
        <v/>
      </c>
      <c r="H57" s="14"/>
      <c r="I57" s="17" t="str">
        <f aca="false">IF(OR(D57="",H57=""),"",D57-H57)</f>
        <v/>
      </c>
      <c r="J57" s="18" t="str">
        <f aca="false">IFERROR(I57/D57,"")</f>
        <v/>
      </c>
      <c r="K57" s="12" t="s">
        <v>686</v>
      </c>
      <c r="L57" s="19" t="str">
        <f aca="true">IF(D57="","",TODAY())</f>
        <v/>
      </c>
      <c r="M57" s="12" t="str">
        <f aca="false">IF(D57="","Pendiente",IF(H57="","Precio cargado; falta costo","Completo"))</f>
        <v>Pendiente</v>
      </c>
      <c r="N57" s="20"/>
      <c r="O57" s="2"/>
      <c r="P57" s="2"/>
      <c r="Q57" s="2"/>
      <c r="R57" s="2"/>
      <c r="S57" s="2"/>
      <c r="T57" s="2"/>
      <c r="U57" s="2"/>
      <c r="V57" s="2"/>
      <c r="W57" s="2"/>
      <c r="X57" s="2"/>
      <c r="Y57" s="2"/>
      <c r="Z57" s="2"/>
    </row>
    <row r="58" customFormat="false" ht="42" hidden="false" customHeight="true" outlineLevel="0" collapsed="false">
      <c r="A58" s="12" t="s">
        <v>645</v>
      </c>
      <c r="B58" s="12" t="s">
        <v>646</v>
      </c>
      <c r="C58" s="12" t="s">
        <v>833</v>
      </c>
      <c r="D58" s="14"/>
      <c r="E58" s="15"/>
      <c r="F58" s="15"/>
      <c r="G58" s="16" t="str">
        <f aca="false">IF(OR(D58="",TC_USD=""),"",D58/TC_USD)</f>
        <v/>
      </c>
      <c r="H58" s="14"/>
      <c r="I58" s="17" t="str">
        <f aca="false">IF(OR(D58="",H58=""),"",D58-H58)</f>
        <v/>
      </c>
      <c r="J58" s="18" t="str">
        <f aca="false">IFERROR(I58/D58,"")</f>
        <v/>
      </c>
      <c r="K58" s="12" t="s">
        <v>686</v>
      </c>
      <c r="L58" s="19" t="str">
        <f aca="true">IF(D58="","",TODAY())</f>
        <v/>
      </c>
      <c r="M58" s="12" t="str">
        <f aca="false">IF(D58="","Pendiente",IF(H58="","Precio cargado; falta costo","Completo"))</f>
        <v>Pendiente</v>
      </c>
      <c r="N58" s="20"/>
      <c r="O58" s="2"/>
      <c r="P58" s="2"/>
      <c r="Q58" s="2"/>
      <c r="R58" s="2"/>
      <c r="S58" s="2"/>
      <c r="T58" s="2"/>
      <c r="U58" s="2"/>
      <c r="V58" s="2"/>
      <c r="W58" s="2"/>
      <c r="X58" s="2"/>
      <c r="Y58" s="2"/>
      <c r="Z58" s="2"/>
    </row>
    <row r="59" customFormat="false" ht="42" hidden="false" customHeight="true" outlineLevel="0" collapsed="false">
      <c r="A59" s="12" t="s">
        <v>656</v>
      </c>
      <c r="B59" s="12" t="s">
        <v>657</v>
      </c>
      <c r="C59" s="12" t="s">
        <v>833</v>
      </c>
      <c r="D59" s="14"/>
      <c r="E59" s="15"/>
      <c r="F59" s="15"/>
      <c r="G59" s="16" t="str">
        <f aca="false">IF(OR(D59="",TC_USD=""),"",D59/TC_USD)</f>
        <v/>
      </c>
      <c r="H59" s="14"/>
      <c r="I59" s="17" t="str">
        <f aca="false">IF(OR(D59="",H59=""),"",D59-H59)</f>
        <v/>
      </c>
      <c r="J59" s="18" t="str">
        <f aca="false">IFERROR(I59/D59,"")</f>
        <v/>
      </c>
      <c r="K59" s="12" t="s">
        <v>686</v>
      </c>
      <c r="L59" s="19" t="str">
        <f aca="true">IF(D59="","",TODAY())</f>
        <v/>
      </c>
      <c r="M59" s="12" t="str">
        <f aca="false">IF(D59="","Pendiente",IF(H59="","Precio cargado; falta costo","Completo"))</f>
        <v>Pendiente</v>
      </c>
      <c r="N59" s="20"/>
      <c r="O59" s="2"/>
      <c r="P59" s="2"/>
      <c r="Q59" s="2"/>
      <c r="R59" s="2"/>
      <c r="S59" s="2"/>
      <c r="T59" s="2"/>
      <c r="U59" s="2"/>
      <c r="V59" s="2"/>
      <c r="W59" s="2"/>
      <c r="X59" s="2"/>
      <c r="Y59" s="2"/>
      <c r="Z59" s="2"/>
    </row>
    <row r="60" customFormat="false" ht="14.25" hidden="false" customHeight="fals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4.25" hidden="false" customHeight="fals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4.25" hidden="false" customHeight="fals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4.25" hidden="false" customHeight="fals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4.25" hidden="false" customHeight="fals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4.25" hidden="false" customHeight="fals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4.25" hidden="false" customHeight="fals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4.25" hidden="false" customHeight="fals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4.25" hidden="false" customHeight="fals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4.25" hidden="false" customHeight="fals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4.25" hidden="false" customHeight="fals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4.25" hidden="false" customHeight="fals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4.25" hidden="false" customHeight="fals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4.25" hidden="false" customHeight="fals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4.25" hidden="false" customHeight="fals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4.25" hidden="false" customHeight="fals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4.25" hidden="false" customHeight="fals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4.25" hidden="false" customHeight="fals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4.25" hidden="false" customHeight="fals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4.25" hidden="false" customHeight="fals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4.25" hidden="false" customHeight="fals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4.25" hidden="false" customHeight="fals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4.25" hidden="false" customHeight="fals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4.25" hidden="false" customHeight="fals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4.25" hidden="false" customHeight="fals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4.25" hidden="false" customHeight="fals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4.25" hidden="false" customHeight="fals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4.25" hidden="false" customHeight="fals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4.25" hidden="false" customHeight="fals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4.25" hidden="false" customHeight="fals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4.25" hidden="false" customHeight="fals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4.25" hidden="false" customHeight="fals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4.25" hidden="false" customHeight="fals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4.25" hidden="false" customHeight="fals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4.25" hidden="false" customHeight="fals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4.25" hidden="false" customHeight="fals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4.25" hidden="false" customHeight="fals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4.25" hidden="false" customHeight="fals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4.25" hidden="false" customHeight="fals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4.25" hidden="false" customHeight="fals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4.25" hidden="false" customHeight="fals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4.25" hidden="false" customHeight="fals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4.25" hidden="false" customHeight="fals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4.25" hidden="false" customHeight="fals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4.25" hidden="false" customHeight="fals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4.25" hidden="false" customHeight="fals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4.25" hidden="false" customHeight="fals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4.25" hidden="false" customHeight="fals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4.25" hidden="false" customHeight="fals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4.25" hidden="false" customHeight="fals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4.25" hidden="false" customHeight="fals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4.25" hidden="false" customHeight="fals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4.25" hidden="false" customHeight="fals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4.25" hidden="false" customHeight="fals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4.25" hidden="false" customHeight="fals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4.25" hidden="false" customHeight="fals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4.25" hidden="false" customHeight="fals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4.25" hidden="false" customHeight="fals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4.25" hidden="false" customHeight="fals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4.25" hidden="false" customHeight="fals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4.25" hidden="false" customHeight="fals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4.25" hidden="false" customHeight="fals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4.25" hidden="false" customHeight="fals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4.25" hidden="false" customHeight="fals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4.25" hidden="false" customHeight="fals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4.25" hidden="false" customHeight="fals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4.25" hidden="false" customHeight="fals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4.25" hidden="false" customHeight="fals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4.25" hidden="false" customHeight="fals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4.25" hidden="false" customHeight="fals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4.25" hidden="false" customHeight="fals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4.25" hidden="false" customHeight="fals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4.25" hidden="false" customHeight="fals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4.25" hidden="false" customHeight="fals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4.25" hidden="false" customHeight="fals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4.25" hidden="false" customHeight="fals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4.25" hidden="false" customHeight="fals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4.25" hidden="false" customHeight="fals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4.25" hidden="false" customHeight="fals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4.25" hidden="false" customHeight="fals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4.25" hidden="false" customHeight="fals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4.25" hidden="false" customHeight="fals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4.25" hidden="false" customHeight="fals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4.25" hidden="false" customHeight="fals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4.25" hidden="false" customHeight="fals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4.25" hidden="false" customHeight="fals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4.25" hidden="false" customHeight="fals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4.25" hidden="false" customHeight="fals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4.25" hidden="false" customHeight="fals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4.25" hidden="false" customHeight="fals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4.25" hidden="false" customHeight="fals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4.25" hidden="false" customHeight="fals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4.25" hidden="false" customHeight="fals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4.25" hidden="false" customHeight="fals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4.25" hidden="false" customHeight="fals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4.25" hidden="false" customHeight="fals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4.25" hidden="false" customHeight="fals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4.25" hidden="false" customHeight="fals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4.25" hidden="false" customHeight="fals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4.25" hidden="false" customHeight="fals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4.25" hidden="false" customHeight="fals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4.25" hidden="false" customHeight="fals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4.25" hidden="false" customHeight="fals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4.25" hidden="false" customHeight="fals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4.25" hidden="false" customHeight="fals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4.25" hidden="false" customHeight="fals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4.25" hidden="false" customHeight="fals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4.25" hidden="false" customHeight="fals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4.25" hidden="false" customHeight="fals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4.25" hidden="false" customHeight="fals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4.25" hidden="false" customHeight="fals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4.25" hidden="false" customHeight="fals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4.25" hidden="false" customHeight="fals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4.25" hidden="false" customHeight="fals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4.25" hidden="false" customHeight="fals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4.25" hidden="false" customHeight="fals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4.25" hidden="false" customHeight="fals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4.25" hidden="false" customHeight="fals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4.25" hidden="false" customHeight="fals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4.25" hidden="false" customHeight="fals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4.25" hidden="false" customHeight="fals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4.25" hidden="false" customHeight="fals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4.25" hidden="false" customHeight="fals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4.25" hidden="false" customHeight="fals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4.25" hidden="false" customHeight="fals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4.25" hidden="false" customHeight="fals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4.25" hidden="false" customHeight="fals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4.25" hidden="false" customHeight="fals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4.25" hidden="false" customHeight="fals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4.25" hidden="false" customHeight="fals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4.25" hidden="false" customHeight="fals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4.25" hidden="false" customHeight="fals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4.25" hidden="false" customHeight="fals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4.25" hidden="false" customHeight="fals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4.25" hidden="false" customHeight="fals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4.25" hidden="false" customHeight="fals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4.25" hidden="false" customHeight="fals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4.25" hidden="false" customHeight="fals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4.25" hidden="false" customHeight="fals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4.25" hidden="false" customHeight="fals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4.25" hidden="false" customHeight="fals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sheetData>
  <autoFilter ref="A4:N59"/>
  <mergeCells count="2">
    <mergeCell ref="A1:N1"/>
    <mergeCell ref="A2:N2"/>
  </mergeCells>
  <conditionalFormatting sqref="M5:M59">
    <cfRule type="expression" priority="2" aboveAverage="0" equalAverage="0" bottom="0" percent="0" rank="0" text="" dxfId="9">
      <formula>M5="Completo"</formula>
    </cfRule>
    <cfRule type="expression" priority="3" aboveAverage="0" equalAverage="0" bottom="0" percent="0" rank="0" text="" dxfId="15">
      <formula>M5="Pendiente"</formula>
    </cfRule>
  </conditionalFormatting>
  <dataValidations count="2">
    <dataValidation allowBlank="false" errorStyle="stop" operator="between" showDropDown="false" showErrorMessage="false" showInputMessage="false" sqref="C5:C59" type="list">
      <formula1>"ARS,USD"</formula1>
      <formula2>0</formula2>
    </dataValidation>
    <dataValidation allowBlank="false" errorStyle="stop" operator="between" showDropDown="false" showErrorMessage="false" showInputMessage="false" sqref="K5:K59" type="list">
      <formula1>"Sí,No"</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B966E"/>
    <pageSetUpPr fitToPage="false"/>
  </sheetPr>
  <dimension ref="A1:Z200"/>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pane xSplit="2" ySplit="4" topLeftCell="C5" activePane="bottomRight" state="frozen"/>
      <selection pane="topLeft" activeCell="A2" activeCellId="0" sqref="A2"/>
      <selection pane="topRight" activeCell="C2" activeCellId="0" sqref="C2"/>
      <selection pane="bottomLeft" activeCell="A5" activeCellId="0" sqref="A5"/>
      <selection pane="bottomRight" activeCell="A1" activeCellId="0" sqref="A1"/>
    </sheetView>
  </sheetViews>
  <sheetFormatPr defaultColWidth="9.00390625" defaultRowHeight="14.2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24"/>
    <col collapsed="false" customWidth="true" hidden="false" outlineLevel="0" max="4" min="4" style="0" width="18"/>
    <col collapsed="false" customWidth="true" hidden="false" outlineLevel="0" max="5" min="5" style="0" width="24"/>
    <col collapsed="false" customWidth="true" hidden="false" outlineLevel="0" max="6" min="6" style="0" width="14"/>
    <col collapsed="false" customWidth="true" hidden="false" outlineLevel="0" max="7" min="7" style="0" width="23"/>
    <col collapsed="false" customWidth="true" hidden="false" outlineLevel="0" max="8" min="8" style="0" width="24"/>
    <col collapsed="false" customWidth="true" hidden="false" outlineLevel="0" max="9" min="9" style="0" width="18"/>
    <col collapsed="false" customWidth="true" hidden="false" outlineLevel="0" max="11" min="10" style="0" width="20"/>
    <col collapsed="false" customWidth="true" hidden="false" outlineLevel="0" max="12" min="12" style="0" width="52"/>
  </cols>
  <sheetData>
    <row r="1" customFormat="false" ht="30" hidden="false" customHeight="true" outlineLevel="0" collapsed="false">
      <c r="A1" s="1" t="s">
        <v>834</v>
      </c>
      <c r="B1" s="1"/>
      <c r="C1" s="1"/>
      <c r="D1" s="1"/>
      <c r="E1" s="1"/>
      <c r="F1" s="1"/>
      <c r="G1" s="1"/>
      <c r="H1" s="1"/>
      <c r="I1" s="1"/>
      <c r="J1" s="1"/>
      <c r="K1" s="1"/>
      <c r="L1" s="1"/>
      <c r="M1" s="2"/>
      <c r="N1" s="2"/>
      <c r="O1" s="2"/>
      <c r="P1" s="2"/>
      <c r="Q1" s="2"/>
      <c r="R1" s="2"/>
      <c r="S1" s="2"/>
      <c r="T1" s="2"/>
      <c r="U1" s="2"/>
      <c r="V1" s="2"/>
      <c r="W1" s="2"/>
      <c r="X1" s="2"/>
      <c r="Y1" s="2"/>
      <c r="Z1" s="2"/>
    </row>
    <row r="2" customFormat="false" ht="30" hidden="false" customHeight="true" outlineLevel="0" collapsed="false">
      <c r="A2" s="3" t="s">
        <v>835</v>
      </c>
      <c r="B2" s="3"/>
      <c r="C2" s="3"/>
      <c r="D2" s="3"/>
      <c r="E2" s="3"/>
      <c r="F2" s="3"/>
      <c r="G2" s="3"/>
      <c r="H2" s="3"/>
      <c r="I2" s="3"/>
      <c r="J2" s="3"/>
      <c r="K2" s="3"/>
      <c r="L2" s="3"/>
      <c r="M2" s="2"/>
      <c r="N2" s="2"/>
      <c r="O2" s="2"/>
      <c r="P2" s="2"/>
      <c r="Q2" s="2"/>
      <c r="R2" s="2"/>
      <c r="S2" s="2"/>
      <c r="T2" s="2"/>
      <c r="U2" s="2"/>
      <c r="V2" s="2"/>
      <c r="W2" s="2"/>
      <c r="X2" s="2"/>
      <c r="Y2" s="2"/>
      <c r="Z2" s="2"/>
    </row>
    <row r="3" customFormat="false" ht="14.25" hidden="false" customHeight="false" outlineLevel="0" collapsed="false">
      <c r="A3" s="2"/>
      <c r="B3" s="2"/>
      <c r="C3" s="2"/>
      <c r="D3" s="2"/>
      <c r="E3" s="2"/>
      <c r="F3" s="2"/>
      <c r="G3" s="2"/>
      <c r="H3" s="2"/>
      <c r="I3" s="2"/>
      <c r="J3" s="2"/>
      <c r="K3" s="2"/>
      <c r="L3" s="2"/>
      <c r="M3" s="2"/>
      <c r="N3" s="2"/>
      <c r="O3" s="2"/>
      <c r="P3" s="2"/>
      <c r="Q3" s="2"/>
      <c r="R3" s="2"/>
      <c r="S3" s="2"/>
      <c r="T3" s="2"/>
      <c r="U3" s="2"/>
      <c r="V3" s="2"/>
      <c r="W3" s="2"/>
      <c r="X3" s="2"/>
      <c r="Y3" s="2"/>
      <c r="Z3" s="2"/>
    </row>
    <row r="4" customFormat="false" ht="36" hidden="false" customHeight="true" outlineLevel="0" collapsed="false">
      <c r="A4" s="11" t="s">
        <v>79</v>
      </c>
      <c r="B4" s="11" t="s">
        <v>821</v>
      </c>
      <c r="C4" s="11" t="s">
        <v>836</v>
      </c>
      <c r="D4" s="11" t="s">
        <v>837</v>
      </c>
      <c r="E4" s="11" t="s">
        <v>838</v>
      </c>
      <c r="F4" s="11" t="s">
        <v>839</v>
      </c>
      <c r="G4" s="11" t="s">
        <v>840</v>
      </c>
      <c r="H4" s="11" t="s">
        <v>841</v>
      </c>
      <c r="I4" s="11" t="s">
        <v>842</v>
      </c>
      <c r="J4" s="11" t="s">
        <v>843</v>
      </c>
      <c r="K4" s="11" t="s">
        <v>844</v>
      </c>
      <c r="L4" s="11" t="s">
        <v>845</v>
      </c>
      <c r="M4" s="2"/>
      <c r="N4" s="2"/>
      <c r="O4" s="2"/>
      <c r="P4" s="2"/>
      <c r="Q4" s="2"/>
      <c r="R4" s="2"/>
      <c r="S4" s="2"/>
      <c r="T4" s="2"/>
      <c r="U4" s="2"/>
      <c r="V4" s="2"/>
      <c r="W4" s="2"/>
      <c r="X4" s="2"/>
      <c r="Y4" s="2"/>
      <c r="Z4" s="2"/>
    </row>
    <row r="5" customFormat="false" ht="42" hidden="false" customHeight="true" outlineLevel="0" collapsed="false">
      <c r="A5" s="12" t="s">
        <v>91</v>
      </c>
      <c r="B5" s="12" t="s">
        <v>92</v>
      </c>
      <c r="C5" s="12" t="s">
        <v>846</v>
      </c>
      <c r="D5" s="12" t="s">
        <v>847</v>
      </c>
      <c r="E5" s="12" t="s">
        <v>848</v>
      </c>
      <c r="F5" s="12" t="s">
        <v>6</v>
      </c>
      <c r="G5" s="20"/>
      <c r="H5" s="12"/>
      <c r="I5" s="12" t="s">
        <v>849</v>
      </c>
      <c r="J5" s="12" t="s">
        <v>849</v>
      </c>
      <c r="K5" s="12" t="s">
        <v>849</v>
      </c>
      <c r="L5" s="12"/>
      <c r="M5" s="2"/>
      <c r="N5" s="2"/>
      <c r="O5" s="2"/>
      <c r="P5" s="2"/>
      <c r="Q5" s="2"/>
      <c r="R5" s="2"/>
      <c r="S5" s="2"/>
      <c r="T5" s="2"/>
      <c r="U5" s="2"/>
      <c r="V5" s="2"/>
      <c r="W5" s="2"/>
      <c r="X5" s="2"/>
      <c r="Y5" s="2"/>
      <c r="Z5" s="2"/>
    </row>
    <row r="6" customFormat="false" ht="42" hidden="false" customHeight="true" outlineLevel="0" collapsed="false">
      <c r="A6" s="12" t="s">
        <v>102</v>
      </c>
      <c r="B6" s="12" t="s">
        <v>103</v>
      </c>
      <c r="C6" s="12" t="s">
        <v>846</v>
      </c>
      <c r="D6" s="12" t="s">
        <v>847</v>
      </c>
      <c r="E6" s="12" t="s">
        <v>848</v>
      </c>
      <c r="F6" s="12" t="s">
        <v>6</v>
      </c>
      <c r="G6" s="20"/>
      <c r="H6" s="12"/>
      <c r="I6" s="12" t="s">
        <v>849</v>
      </c>
      <c r="J6" s="12" t="s">
        <v>849</v>
      </c>
      <c r="K6" s="12" t="s">
        <v>849</v>
      </c>
      <c r="L6" s="12"/>
      <c r="M6" s="2"/>
      <c r="N6" s="2"/>
      <c r="O6" s="2"/>
      <c r="P6" s="2"/>
      <c r="Q6" s="2"/>
      <c r="R6" s="2"/>
      <c r="S6" s="2"/>
      <c r="T6" s="2"/>
      <c r="U6" s="2"/>
      <c r="V6" s="2"/>
      <c r="W6" s="2"/>
      <c r="X6" s="2"/>
      <c r="Y6" s="2"/>
      <c r="Z6" s="2"/>
    </row>
    <row r="7" customFormat="false" ht="42" hidden="false" customHeight="true" outlineLevel="0" collapsed="false">
      <c r="A7" s="12" t="s">
        <v>113</v>
      </c>
      <c r="B7" s="12" t="s">
        <v>114</v>
      </c>
      <c r="C7" s="12" t="s">
        <v>850</v>
      </c>
      <c r="D7" s="12" t="s">
        <v>847</v>
      </c>
      <c r="E7" s="12" t="s">
        <v>848</v>
      </c>
      <c r="F7" s="12" t="s">
        <v>6</v>
      </c>
      <c r="G7" s="20"/>
      <c r="H7" s="12" t="s">
        <v>851</v>
      </c>
      <c r="I7" s="12" t="s">
        <v>849</v>
      </c>
      <c r="J7" s="12" t="s">
        <v>849</v>
      </c>
      <c r="K7" s="12" t="s">
        <v>849</v>
      </c>
      <c r="L7" s="12"/>
      <c r="M7" s="2"/>
      <c r="N7" s="2"/>
      <c r="O7" s="2"/>
      <c r="P7" s="2"/>
      <c r="Q7" s="2"/>
      <c r="R7" s="2"/>
      <c r="S7" s="2"/>
      <c r="T7" s="2"/>
      <c r="U7" s="2"/>
      <c r="V7" s="2"/>
      <c r="W7" s="2"/>
      <c r="X7" s="2"/>
      <c r="Y7" s="2"/>
      <c r="Z7" s="2"/>
    </row>
    <row r="8" customFormat="false" ht="42" hidden="false" customHeight="true" outlineLevel="0" collapsed="false">
      <c r="A8" s="12" t="s">
        <v>124</v>
      </c>
      <c r="B8" s="12" t="s">
        <v>125</v>
      </c>
      <c r="C8" s="12" t="s">
        <v>846</v>
      </c>
      <c r="D8" s="12" t="s">
        <v>847</v>
      </c>
      <c r="E8" s="12" t="s">
        <v>848</v>
      </c>
      <c r="F8" s="12" t="s">
        <v>6</v>
      </c>
      <c r="G8" s="20"/>
      <c r="H8" s="12"/>
      <c r="I8" s="12" t="s">
        <v>849</v>
      </c>
      <c r="J8" s="12" t="s">
        <v>849</v>
      </c>
      <c r="K8" s="12" t="s">
        <v>849</v>
      </c>
      <c r="L8" s="12"/>
      <c r="M8" s="2"/>
      <c r="N8" s="2"/>
      <c r="O8" s="2"/>
      <c r="P8" s="2"/>
      <c r="Q8" s="2"/>
      <c r="R8" s="2"/>
      <c r="S8" s="2"/>
      <c r="T8" s="2"/>
      <c r="U8" s="2"/>
      <c r="V8" s="2"/>
      <c r="W8" s="2"/>
      <c r="X8" s="2"/>
      <c r="Y8" s="2"/>
      <c r="Z8" s="2"/>
    </row>
    <row r="9" customFormat="false" ht="42" hidden="false" customHeight="true" outlineLevel="0" collapsed="false">
      <c r="A9" s="12" t="s">
        <v>135</v>
      </c>
      <c r="B9" s="12" t="s">
        <v>136</v>
      </c>
      <c r="C9" s="12" t="s">
        <v>852</v>
      </c>
      <c r="D9" s="12" t="s">
        <v>853</v>
      </c>
      <c r="E9" s="12" t="s">
        <v>848</v>
      </c>
      <c r="F9" s="12" t="s">
        <v>6</v>
      </c>
      <c r="G9" s="20"/>
      <c r="H9" s="12"/>
      <c r="I9" s="12" t="s">
        <v>849</v>
      </c>
      <c r="J9" s="12" t="s">
        <v>849</v>
      </c>
      <c r="K9" s="12" t="s">
        <v>686</v>
      </c>
      <c r="L9" s="12" t="s">
        <v>692</v>
      </c>
      <c r="M9" s="2"/>
      <c r="N9" s="2"/>
      <c r="O9" s="2"/>
      <c r="P9" s="2"/>
      <c r="Q9" s="2"/>
      <c r="R9" s="2"/>
      <c r="S9" s="2"/>
      <c r="T9" s="2"/>
      <c r="U9" s="2"/>
      <c r="V9" s="2"/>
      <c r="W9" s="2"/>
      <c r="X9" s="2"/>
      <c r="Y9" s="2"/>
      <c r="Z9" s="2"/>
    </row>
    <row r="10" customFormat="false" ht="42" hidden="false" customHeight="true" outlineLevel="0" collapsed="false">
      <c r="A10" s="12" t="s">
        <v>146</v>
      </c>
      <c r="B10" s="12" t="s">
        <v>147</v>
      </c>
      <c r="C10" s="12" t="s">
        <v>852</v>
      </c>
      <c r="D10" s="12" t="s">
        <v>854</v>
      </c>
      <c r="E10" s="12" t="s">
        <v>848</v>
      </c>
      <c r="F10" s="12" t="s">
        <v>6</v>
      </c>
      <c r="G10" s="20"/>
      <c r="H10" s="12"/>
      <c r="I10" s="12" t="s">
        <v>849</v>
      </c>
      <c r="J10" s="12" t="s">
        <v>849</v>
      </c>
      <c r="K10" s="12" t="s">
        <v>686</v>
      </c>
      <c r="L10" s="12"/>
      <c r="M10" s="2"/>
      <c r="N10" s="2"/>
      <c r="O10" s="2"/>
      <c r="P10" s="2"/>
      <c r="Q10" s="2"/>
      <c r="R10" s="2"/>
      <c r="S10" s="2"/>
      <c r="T10" s="2"/>
      <c r="U10" s="2"/>
      <c r="V10" s="2"/>
      <c r="W10" s="2"/>
      <c r="X10" s="2"/>
      <c r="Y10" s="2"/>
      <c r="Z10" s="2"/>
    </row>
    <row r="11" customFormat="false" ht="42" hidden="false" customHeight="true" outlineLevel="0" collapsed="false">
      <c r="A11" s="12" t="s">
        <v>157</v>
      </c>
      <c r="B11" s="12" t="s">
        <v>158</v>
      </c>
      <c r="C11" s="12" t="s">
        <v>855</v>
      </c>
      <c r="D11" s="12" t="s">
        <v>856</v>
      </c>
      <c r="E11" s="12" t="s">
        <v>857</v>
      </c>
      <c r="F11" s="12" t="s">
        <v>849</v>
      </c>
      <c r="G11" s="20"/>
      <c r="H11" s="12" t="s">
        <v>858</v>
      </c>
      <c r="I11" s="12" t="s">
        <v>849</v>
      </c>
      <c r="J11" s="12" t="s">
        <v>849</v>
      </c>
      <c r="K11" s="12" t="s">
        <v>686</v>
      </c>
      <c r="L11" s="12"/>
      <c r="M11" s="2"/>
      <c r="N11" s="2"/>
      <c r="O11" s="2"/>
      <c r="P11" s="2"/>
      <c r="Q11" s="2"/>
      <c r="R11" s="2"/>
      <c r="S11" s="2"/>
      <c r="T11" s="2"/>
      <c r="U11" s="2"/>
      <c r="V11" s="2"/>
      <c r="W11" s="2"/>
      <c r="X11" s="2"/>
      <c r="Y11" s="2"/>
      <c r="Z11" s="2"/>
    </row>
    <row r="12" customFormat="false" ht="42" hidden="false" customHeight="true" outlineLevel="0" collapsed="false">
      <c r="A12" s="12" t="s">
        <v>168</v>
      </c>
      <c r="B12" s="12" t="s">
        <v>169</v>
      </c>
      <c r="C12" s="12" t="s">
        <v>859</v>
      </c>
      <c r="D12" s="12" t="s">
        <v>856</v>
      </c>
      <c r="E12" s="12" t="s">
        <v>857</v>
      </c>
      <c r="F12" s="12" t="s">
        <v>849</v>
      </c>
      <c r="G12" s="20"/>
      <c r="H12" s="12" t="s">
        <v>860</v>
      </c>
      <c r="I12" s="12" t="s">
        <v>849</v>
      </c>
      <c r="J12" s="12" t="s">
        <v>849</v>
      </c>
      <c r="K12" s="12" t="s">
        <v>686</v>
      </c>
      <c r="L12" s="12"/>
      <c r="M12" s="2"/>
      <c r="N12" s="2"/>
      <c r="O12" s="2"/>
      <c r="P12" s="2"/>
      <c r="Q12" s="2"/>
      <c r="R12" s="2"/>
      <c r="S12" s="2"/>
      <c r="T12" s="2"/>
      <c r="U12" s="2"/>
      <c r="V12" s="2"/>
      <c r="W12" s="2"/>
      <c r="X12" s="2"/>
      <c r="Y12" s="2"/>
      <c r="Z12" s="2"/>
    </row>
    <row r="13" customFormat="false" ht="42" hidden="false" customHeight="true" outlineLevel="0" collapsed="false">
      <c r="A13" s="12" t="s">
        <v>179</v>
      </c>
      <c r="B13" s="12" t="s">
        <v>180</v>
      </c>
      <c r="C13" s="12" t="s">
        <v>861</v>
      </c>
      <c r="D13" s="12" t="s">
        <v>862</v>
      </c>
      <c r="E13" s="12" t="s">
        <v>863</v>
      </c>
      <c r="F13" s="12" t="s">
        <v>6</v>
      </c>
      <c r="G13" s="20"/>
      <c r="H13" s="12"/>
      <c r="I13" s="12" t="s">
        <v>849</v>
      </c>
      <c r="J13" s="12" t="s">
        <v>849</v>
      </c>
      <c r="K13" s="12" t="s">
        <v>686</v>
      </c>
      <c r="L13" s="12" t="s">
        <v>693</v>
      </c>
      <c r="M13" s="2"/>
      <c r="N13" s="2"/>
      <c r="O13" s="2"/>
      <c r="P13" s="2"/>
      <c r="Q13" s="2"/>
      <c r="R13" s="2"/>
      <c r="S13" s="2"/>
      <c r="T13" s="2"/>
      <c r="U13" s="2"/>
      <c r="V13" s="2"/>
      <c r="W13" s="2"/>
      <c r="X13" s="2"/>
      <c r="Y13" s="2"/>
      <c r="Z13" s="2"/>
    </row>
    <row r="14" customFormat="false" ht="42" hidden="false" customHeight="true" outlineLevel="0" collapsed="false">
      <c r="A14" s="12" t="s">
        <v>190</v>
      </c>
      <c r="B14" s="12" t="s">
        <v>191</v>
      </c>
      <c r="C14" s="12" t="s">
        <v>864</v>
      </c>
      <c r="D14" s="12" t="s">
        <v>862</v>
      </c>
      <c r="E14" s="12" t="s">
        <v>857</v>
      </c>
      <c r="F14" s="12" t="s">
        <v>849</v>
      </c>
      <c r="G14" s="20"/>
      <c r="H14" s="12" t="s">
        <v>851</v>
      </c>
      <c r="I14" s="12" t="s">
        <v>849</v>
      </c>
      <c r="J14" s="12" t="s">
        <v>849</v>
      </c>
      <c r="K14" s="12" t="s">
        <v>686</v>
      </c>
      <c r="L14" s="12"/>
      <c r="M14" s="2"/>
      <c r="N14" s="2"/>
      <c r="O14" s="2"/>
      <c r="P14" s="2"/>
      <c r="Q14" s="2"/>
      <c r="R14" s="2"/>
      <c r="S14" s="2"/>
      <c r="T14" s="2"/>
      <c r="U14" s="2"/>
      <c r="V14" s="2"/>
      <c r="W14" s="2"/>
      <c r="X14" s="2"/>
      <c r="Y14" s="2"/>
      <c r="Z14" s="2"/>
    </row>
    <row r="15" customFormat="false" ht="42" hidden="false" customHeight="true" outlineLevel="0" collapsed="false">
      <c r="A15" s="12" t="s">
        <v>200</v>
      </c>
      <c r="B15" s="12" t="s">
        <v>201</v>
      </c>
      <c r="C15" s="12" t="s">
        <v>852</v>
      </c>
      <c r="D15" s="12" t="s">
        <v>854</v>
      </c>
      <c r="E15" s="12" t="s">
        <v>848</v>
      </c>
      <c r="F15" s="12" t="s">
        <v>6</v>
      </c>
      <c r="G15" s="20"/>
      <c r="H15" s="12"/>
      <c r="I15" s="12" t="s">
        <v>849</v>
      </c>
      <c r="J15" s="12" t="s">
        <v>849</v>
      </c>
      <c r="K15" s="12" t="s">
        <v>686</v>
      </c>
      <c r="L15" s="12" t="s">
        <v>695</v>
      </c>
      <c r="M15" s="2"/>
      <c r="N15" s="2"/>
      <c r="O15" s="2"/>
      <c r="P15" s="2"/>
      <c r="Q15" s="2"/>
      <c r="R15" s="2"/>
      <c r="S15" s="2"/>
      <c r="T15" s="2"/>
      <c r="U15" s="2"/>
      <c r="V15" s="2"/>
      <c r="W15" s="2"/>
      <c r="X15" s="2"/>
      <c r="Y15" s="2"/>
      <c r="Z15" s="2"/>
    </row>
    <row r="16" customFormat="false" ht="42" hidden="false" customHeight="true" outlineLevel="0" collapsed="false">
      <c r="A16" s="12" t="s">
        <v>208</v>
      </c>
      <c r="B16" s="12" t="s">
        <v>209</v>
      </c>
      <c r="C16" s="12" t="s">
        <v>865</v>
      </c>
      <c r="D16" s="12" t="s">
        <v>853</v>
      </c>
      <c r="E16" s="12" t="s">
        <v>866</v>
      </c>
      <c r="F16" s="12" t="s">
        <v>6</v>
      </c>
      <c r="G16" s="20"/>
      <c r="H16" s="12"/>
      <c r="I16" s="12" t="s">
        <v>849</v>
      </c>
      <c r="J16" s="12" t="s">
        <v>849</v>
      </c>
      <c r="K16" s="12" t="s">
        <v>686</v>
      </c>
      <c r="L16" s="12"/>
      <c r="M16" s="2"/>
      <c r="N16" s="2"/>
      <c r="O16" s="2"/>
      <c r="P16" s="2"/>
      <c r="Q16" s="2"/>
      <c r="R16" s="2"/>
      <c r="S16" s="2"/>
      <c r="T16" s="2"/>
      <c r="U16" s="2"/>
      <c r="V16" s="2"/>
      <c r="W16" s="2"/>
      <c r="X16" s="2"/>
      <c r="Y16" s="2"/>
      <c r="Z16" s="2"/>
    </row>
    <row r="17" customFormat="false" ht="42" hidden="false" customHeight="true" outlineLevel="0" collapsed="false">
      <c r="A17" s="12" t="s">
        <v>219</v>
      </c>
      <c r="B17" s="12" t="s">
        <v>220</v>
      </c>
      <c r="C17" s="12" t="s">
        <v>867</v>
      </c>
      <c r="D17" s="12" t="s">
        <v>853</v>
      </c>
      <c r="E17" s="12" t="s">
        <v>866</v>
      </c>
      <c r="F17" s="12" t="s">
        <v>6</v>
      </c>
      <c r="G17" s="20"/>
      <c r="H17" s="12"/>
      <c r="I17" s="12" t="s">
        <v>849</v>
      </c>
      <c r="J17" s="12" t="s">
        <v>849</v>
      </c>
      <c r="K17" s="12" t="s">
        <v>686</v>
      </c>
      <c r="L17" s="12"/>
      <c r="M17" s="2"/>
      <c r="N17" s="2"/>
      <c r="O17" s="2"/>
      <c r="P17" s="2"/>
      <c r="Q17" s="2"/>
      <c r="R17" s="2"/>
      <c r="S17" s="2"/>
      <c r="T17" s="2"/>
      <c r="U17" s="2"/>
      <c r="V17" s="2"/>
      <c r="W17" s="2"/>
      <c r="X17" s="2"/>
      <c r="Y17" s="2"/>
      <c r="Z17" s="2"/>
    </row>
    <row r="18" customFormat="false" ht="42" hidden="false" customHeight="true" outlineLevel="0" collapsed="false">
      <c r="A18" s="12" t="s">
        <v>230</v>
      </c>
      <c r="B18" s="12" t="s">
        <v>231</v>
      </c>
      <c r="C18" s="12" t="s">
        <v>867</v>
      </c>
      <c r="D18" s="12" t="s">
        <v>853</v>
      </c>
      <c r="E18" s="12" t="s">
        <v>866</v>
      </c>
      <c r="F18" s="12" t="s">
        <v>6</v>
      </c>
      <c r="G18" s="20"/>
      <c r="H18" s="12"/>
      <c r="I18" s="12" t="s">
        <v>849</v>
      </c>
      <c r="J18" s="12" t="s">
        <v>849</v>
      </c>
      <c r="K18" s="12" t="s">
        <v>686</v>
      </c>
      <c r="L18" s="12"/>
      <c r="M18" s="2"/>
      <c r="N18" s="2"/>
      <c r="O18" s="2"/>
      <c r="P18" s="2"/>
      <c r="Q18" s="2"/>
      <c r="R18" s="2"/>
      <c r="S18" s="2"/>
      <c r="T18" s="2"/>
      <c r="U18" s="2"/>
      <c r="V18" s="2"/>
      <c r="W18" s="2"/>
      <c r="X18" s="2"/>
      <c r="Y18" s="2"/>
      <c r="Z18" s="2"/>
    </row>
    <row r="19" customFormat="false" ht="42" hidden="false" customHeight="true" outlineLevel="0" collapsed="false">
      <c r="A19" s="12" t="s">
        <v>241</v>
      </c>
      <c r="B19" s="12" t="s">
        <v>242</v>
      </c>
      <c r="C19" s="12" t="s">
        <v>867</v>
      </c>
      <c r="D19" s="12" t="s">
        <v>853</v>
      </c>
      <c r="E19" s="12" t="s">
        <v>866</v>
      </c>
      <c r="F19" s="12" t="s">
        <v>6</v>
      </c>
      <c r="G19" s="20"/>
      <c r="H19" s="12"/>
      <c r="I19" s="12" t="s">
        <v>849</v>
      </c>
      <c r="J19" s="12" t="s">
        <v>849</v>
      </c>
      <c r="K19" s="12" t="s">
        <v>686</v>
      </c>
      <c r="L19" s="12"/>
      <c r="M19" s="2"/>
      <c r="N19" s="2"/>
      <c r="O19" s="2"/>
      <c r="P19" s="2"/>
      <c r="Q19" s="2"/>
      <c r="R19" s="2"/>
      <c r="S19" s="2"/>
      <c r="T19" s="2"/>
      <c r="U19" s="2"/>
      <c r="V19" s="2"/>
      <c r="W19" s="2"/>
      <c r="X19" s="2"/>
      <c r="Y19" s="2"/>
      <c r="Z19" s="2"/>
    </row>
    <row r="20" customFormat="false" ht="42" hidden="false" customHeight="true" outlineLevel="0" collapsed="false">
      <c r="A20" s="12" t="s">
        <v>252</v>
      </c>
      <c r="B20" s="12" t="s">
        <v>253</v>
      </c>
      <c r="C20" s="12" t="s">
        <v>868</v>
      </c>
      <c r="D20" s="12" t="s">
        <v>853</v>
      </c>
      <c r="E20" s="12" t="s">
        <v>866</v>
      </c>
      <c r="F20" s="12" t="s">
        <v>6</v>
      </c>
      <c r="G20" s="20"/>
      <c r="H20" s="12"/>
      <c r="I20" s="12" t="s">
        <v>849</v>
      </c>
      <c r="J20" s="12" t="s">
        <v>849</v>
      </c>
      <c r="K20" s="12" t="s">
        <v>686</v>
      </c>
      <c r="L20" s="12"/>
      <c r="M20" s="2"/>
      <c r="N20" s="2"/>
      <c r="O20" s="2"/>
      <c r="P20" s="2"/>
      <c r="Q20" s="2"/>
      <c r="R20" s="2"/>
      <c r="S20" s="2"/>
      <c r="T20" s="2"/>
      <c r="U20" s="2"/>
      <c r="V20" s="2"/>
      <c r="W20" s="2"/>
      <c r="X20" s="2"/>
      <c r="Y20" s="2"/>
      <c r="Z20" s="2"/>
    </row>
    <row r="21" customFormat="false" ht="42" hidden="false" customHeight="true" outlineLevel="0" collapsed="false">
      <c r="A21" s="12" t="s">
        <v>263</v>
      </c>
      <c r="B21" s="12" t="s">
        <v>264</v>
      </c>
      <c r="C21" s="12" t="s">
        <v>868</v>
      </c>
      <c r="D21" s="12" t="s">
        <v>853</v>
      </c>
      <c r="E21" s="12" t="s">
        <v>866</v>
      </c>
      <c r="F21" s="12" t="s">
        <v>6</v>
      </c>
      <c r="G21" s="20"/>
      <c r="H21" s="12"/>
      <c r="I21" s="12" t="s">
        <v>849</v>
      </c>
      <c r="J21" s="12" t="s">
        <v>849</v>
      </c>
      <c r="K21" s="12" t="s">
        <v>686</v>
      </c>
      <c r="L21" s="12"/>
      <c r="M21" s="2"/>
      <c r="N21" s="2"/>
      <c r="O21" s="2"/>
      <c r="P21" s="2"/>
      <c r="Q21" s="2"/>
      <c r="R21" s="2"/>
      <c r="S21" s="2"/>
      <c r="T21" s="2"/>
      <c r="U21" s="2"/>
      <c r="V21" s="2"/>
      <c r="W21" s="2"/>
      <c r="X21" s="2"/>
      <c r="Y21" s="2"/>
      <c r="Z21" s="2"/>
    </row>
    <row r="22" customFormat="false" ht="42" hidden="false" customHeight="true" outlineLevel="0" collapsed="false">
      <c r="A22" s="12" t="s">
        <v>274</v>
      </c>
      <c r="B22" s="12" t="s">
        <v>275</v>
      </c>
      <c r="C22" s="12" t="s">
        <v>868</v>
      </c>
      <c r="D22" s="12" t="s">
        <v>853</v>
      </c>
      <c r="E22" s="12" t="s">
        <v>866</v>
      </c>
      <c r="F22" s="12" t="s">
        <v>6</v>
      </c>
      <c r="G22" s="20"/>
      <c r="H22" s="12"/>
      <c r="I22" s="12" t="s">
        <v>849</v>
      </c>
      <c r="J22" s="12" t="s">
        <v>849</v>
      </c>
      <c r="K22" s="12" t="s">
        <v>686</v>
      </c>
      <c r="L22" s="12"/>
      <c r="M22" s="2"/>
      <c r="N22" s="2"/>
      <c r="O22" s="2"/>
      <c r="P22" s="2"/>
      <c r="Q22" s="2"/>
      <c r="R22" s="2"/>
      <c r="S22" s="2"/>
      <c r="T22" s="2"/>
      <c r="U22" s="2"/>
      <c r="V22" s="2"/>
      <c r="W22" s="2"/>
      <c r="X22" s="2"/>
      <c r="Y22" s="2"/>
      <c r="Z22" s="2"/>
    </row>
    <row r="23" customFormat="false" ht="42" hidden="false" customHeight="true" outlineLevel="0" collapsed="false">
      <c r="A23" s="12" t="s">
        <v>285</v>
      </c>
      <c r="B23" s="12" t="s">
        <v>286</v>
      </c>
      <c r="C23" s="12" t="s">
        <v>868</v>
      </c>
      <c r="D23" s="12" t="s">
        <v>853</v>
      </c>
      <c r="E23" s="12" t="s">
        <v>866</v>
      </c>
      <c r="F23" s="12" t="s">
        <v>6</v>
      </c>
      <c r="G23" s="20"/>
      <c r="H23" s="12"/>
      <c r="I23" s="12" t="s">
        <v>849</v>
      </c>
      <c r="J23" s="12" t="s">
        <v>849</v>
      </c>
      <c r="K23" s="12" t="s">
        <v>686</v>
      </c>
      <c r="L23" s="12"/>
      <c r="M23" s="2"/>
      <c r="N23" s="2"/>
      <c r="O23" s="2"/>
      <c r="P23" s="2"/>
      <c r="Q23" s="2"/>
      <c r="R23" s="2"/>
      <c r="S23" s="2"/>
      <c r="T23" s="2"/>
      <c r="U23" s="2"/>
      <c r="V23" s="2"/>
      <c r="W23" s="2"/>
      <c r="X23" s="2"/>
      <c r="Y23" s="2"/>
      <c r="Z23" s="2"/>
    </row>
    <row r="24" customFormat="false" ht="42" hidden="false" customHeight="true" outlineLevel="0" collapsed="false">
      <c r="A24" s="12" t="s">
        <v>296</v>
      </c>
      <c r="B24" s="12" t="s">
        <v>297</v>
      </c>
      <c r="C24" s="12" t="s">
        <v>869</v>
      </c>
      <c r="D24" s="12" t="s">
        <v>853</v>
      </c>
      <c r="E24" s="12" t="s">
        <v>870</v>
      </c>
      <c r="F24" s="12" t="s">
        <v>6</v>
      </c>
      <c r="G24" s="20"/>
      <c r="H24" s="12" t="s">
        <v>860</v>
      </c>
      <c r="I24" s="12" t="s">
        <v>849</v>
      </c>
      <c r="J24" s="12" t="s">
        <v>849</v>
      </c>
      <c r="K24" s="12" t="s">
        <v>686</v>
      </c>
      <c r="L24" s="12"/>
      <c r="M24" s="2"/>
      <c r="N24" s="2"/>
      <c r="O24" s="2"/>
      <c r="P24" s="2"/>
      <c r="Q24" s="2"/>
      <c r="R24" s="2"/>
      <c r="S24" s="2"/>
      <c r="T24" s="2"/>
      <c r="U24" s="2"/>
      <c r="V24" s="2"/>
      <c r="W24" s="2"/>
      <c r="X24" s="2"/>
      <c r="Y24" s="2"/>
      <c r="Z24" s="2"/>
    </row>
    <row r="25" customFormat="false" ht="42" hidden="false" customHeight="true" outlineLevel="0" collapsed="false">
      <c r="A25" s="12" t="s">
        <v>306</v>
      </c>
      <c r="B25" s="12" t="s">
        <v>307</v>
      </c>
      <c r="C25" s="12" t="s">
        <v>869</v>
      </c>
      <c r="D25" s="12" t="s">
        <v>853</v>
      </c>
      <c r="E25" s="12" t="s">
        <v>870</v>
      </c>
      <c r="F25" s="12" t="s">
        <v>6</v>
      </c>
      <c r="G25" s="20"/>
      <c r="H25" s="12"/>
      <c r="I25" s="12" t="s">
        <v>849</v>
      </c>
      <c r="J25" s="12" t="s">
        <v>849</v>
      </c>
      <c r="K25" s="12" t="s">
        <v>686</v>
      </c>
      <c r="L25" s="12"/>
      <c r="M25" s="2"/>
      <c r="N25" s="2"/>
      <c r="O25" s="2"/>
      <c r="P25" s="2"/>
      <c r="Q25" s="2"/>
      <c r="R25" s="2"/>
      <c r="S25" s="2"/>
      <c r="T25" s="2"/>
      <c r="U25" s="2"/>
      <c r="V25" s="2"/>
      <c r="W25" s="2"/>
      <c r="X25" s="2"/>
      <c r="Y25" s="2"/>
      <c r="Z25" s="2"/>
    </row>
    <row r="26" customFormat="false" ht="42" hidden="false" customHeight="true" outlineLevel="0" collapsed="false">
      <c r="A26" s="12" t="s">
        <v>316</v>
      </c>
      <c r="B26" s="12" t="s">
        <v>317</v>
      </c>
      <c r="C26" s="12" t="s">
        <v>771</v>
      </c>
      <c r="D26" s="12" t="s">
        <v>853</v>
      </c>
      <c r="E26" s="12" t="s">
        <v>871</v>
      </c>
      <c r="F26" s="12" t="s">
        <v>6</v>
      </c>
      <c r="G26" s="20"/>
      <c r="H26" s="12"/>
      <c r="I26" s="12" t="s">
        <v>849</v>
      </c>
      <c r="J26" s="12" t="s">
        <v>849</v>
      </c>
      <c r="K26" s="12" t="s">
        <v>686</v>
      </c>
      <c r="L26" s="12"/>
      <c r="M26" s="2"/>
      <c r="N26" s="2"/>
      <c r="O26" s="2"/>
      <c r="P26" s="2"/>
      <c r="Q26" s="2"/>
      <c r="R26" s="2"/>
      <c r="S26" s="2"/>
      <c r="T26" s="2"/>
      <c r="U26" s="2"/>
      <c r="V26" s="2"/>
      <c r="W26" s="2"/>
      <c r="X26" s="2"/>
      <c r="Y26" s="2"/>
      <c r="Z26" s="2"/>
    </row>
    <row r="27" customFormat="false" ht="42" hidden="false" customHeight="true" outlineLevel="0" collapsed="false">
      <c r="A27" s="12" t="s">
        <v>325</v>
      </c>
      <c r="B27" s="12" t="s">
        <v>326</v>
      </c>
      <c r="C27" s="12" t="s">
        <v>335</v>
      </c>
      <c r="D27" s="12" t="s">
        <v>853</v>
      </c>
      <c r="E27" s="12" t="s">
        <v>871</v>
      </c>
      <c r="F27" s="12" t="s">
        <v>6</v>
      </c>
      <c r="G27" s="20"/>
      <c r="H27" s="12"/>
      <c r="I27" s="12" t="s">
        <v>849</v>
      </c>
      <c r="J27" s="12" t="s">
        <v>849</v>
      </c>
      <c r="K27" s="12" t="s">
        <v>686</v>
      </c>
      <c r="L27" s="12"/>
      <c r="M27" s="2"/>
      <c r="N27" s="2"/>
      <c r="O27" s="2"/>
      <c r="P27" s="2"/>
      <c r="Q27" s="2"/>
      <c r="R27" s="2"/>
      <c r="S27" s="2"/>
      <c r="T27" s="2"/>
      <c r="U27" s="2"/>
      <c r="V27" s="2"/>
      <c r="W27" s="2"/>
      <c r="X27" s="2"/>
      <c r="Y27" s="2"/>
      <c r="Z27" s="2"/>
    </row>
    <row r="28" customFormat="false" ht="42" hidden="false" customHeight="true" outlineLevel="0" collapsed="false">
      <c r="A28" s="12" t="s">
        <v>334</v>
      </c>
      <c r="B28" s="12" t="s">
        <v>335</v>
      </c>
      <c r="C28" s="12" t="s">
        <v>335</v>
      </c>
      <c r="D28" s="12" t="s">
        <v>853</v>
      </c>
      <c r="E28" s="12" t="s">
        <v>871</v>
      </c>
      <c r="F28" s="12" t="s">
        <v>6</v>
      </c>
      <c r="G28" s="20"/>
      <c r="H28" s="12"/>
      <c r="I28" s="12" t="s">
        <v>849</v>
      </c>
      <c r="J28" s="12" t="s">
        <v>849</v>
      </c>
      <c r="K28" s="12" t="s">
        <v>686</v>
      </c>
      <c r="L28" s="12"/>
      <c r="M28" s="2"/>
      <c r="N28" s="2"/>
      <c r="O28" s="2"/>
      <c r="P28" s="2"/>
      <c r="Q28" s="2"/>
      <c r="R28" s="2"/>
      <c r="S28" s="2"/>
      <c r="T28" s="2"/>
      <c r="U28" s="2"/>
      <c r="V28" s="2"/>
      <c r="W28" s="2"/>
      <c r="X28" s="2"/>
      <c r="Y28" s="2"/>
      <c r="Z28" s="2"/>
    </row>
    <row r="29" customFormat="false" ht="42" hidden="false" customHeight="true" outlineLevel="0" collapsed="false">
      <c r="A29" s="12" t="s">
        <v>345</v>
      </c>
      <c r="B29" s="12" t="s">
        <v>346</v>
      </c>
      <c r="C29" s="12" t="s">
        <v>872</v>
      </c>
      <c r="D29" s="12" t="s">
        <v>853</v>
      </c>
      <c r="E29" s="12" t="s">
        <v>871</v>
      </c>
      <c r="F29" s="12" t="s">
        <v>6</v>
      </c>
      <c r="G29" s="20"/>
      <c r="H29" s="12" t="s">
        <v>860</v>
      </c>
      <c r="I29" s="12" t="s">
        <v>849</v>
      </c>
      <c r="J29" s="12" t="s">
        <v>849</v>
      </c>
      <c r="K29" s="12" t="s">
        <v>686</v>
      </c>
      <c r="L29" s="12"/>
      <c r="M29" s="2"/>
      <c r="N29" s="2"/>
      <c r="O29" s="2"/>
      <c r="P29" s="2"/>
      <c r="Q29" s="2"/>
      <c r="R29" s="2"/>
      <c r="S29" s="2"/>
      <c r="T29" s="2"/>
      <c r="U29" s="2"/>
      <c r="V29" s="2"/>
      <c r="W29" s="2"/>
      <c r="X29" s="2"/>
      <c r="Y29" s="2"/>
      <c r="Z29" s="2"/>
    </row>
    <row r="30" customFormat="false" ht="42" hidden="false" customHeight="true" outlineLevel="0" collapsed="false">
      <c r="A30" s="12" t="s">
        <v>355</v>
      </c>
      <c r="B30" s="12" t="s">
        <v>356</v>
      </c>
      <c r="C30" s="12" t="s">
        <v>335</v>
      </c>
      <c r="D30" s="12" t="s">
        <v>853</v>
      </c>
      <c r="E30" s="12" t="s">
        <v>871</v>
      </c>
      <c r="F30" s="12" t="s">
        <v>6</v>
      </c>
      <c r="G30" s="20"/>
      <c r="H30" s="12"/>
      <c r="I30" s="12" t="s">
        <v>849</v>
      </c>
      <c r="J30" s="12" t="s">
        <v>849</v>
      </c>
      <c r="K30" s="12" t="s">
        <v>686</v>
      </c>
      <c r="L30" s="12"/>
      <c r="M30" s="2"/>
      <c r="N30" s="2"/>
      <c r="O30" s="2"/>
      <c r="P30" s="2"/>
      <c r="Q30" s="2"/>
      <c r="R30" s="2"/>
      <c r="S30" s="2"/>
      <c r="T30" s="2"/>
      <c r="U30" s="2"/>
      <c r="V30" s="2"/>
      <c r="W30" s="2"/>
      <c r="X30" s="2"/>
      <c r="Y30" s="2"/>
      <c r="Z30" s="2"/>
    </row>
    <row r="31" customFormat="false" ht="42" hidden="false" customHeight="true" outlineLevel="0" collapsed="false">
      <c r="A31" s="12" t="s">
        <v>362</v>
      </c>
      <c r="B31" s="12" t="s">
        <v>363</v>
      </c>
      <c r="C31" s="12" t="s">
        <v>335</v>
      </c>
      <c r="D31" s="12" t="s">
        <v>853</v>
      </c>
      <c r="E31" s="12" t="s">
        <v>871</v>
      </c>
      <c r="F31" s="12" t="s">
        <v>6</v>
      </c>
      <c r="G31" s="20"/>
      <c r="H31" s="12"/>
      <c r="I31" s="12" t="s">
        <v>849</v>
      </c>
      <c r="J31" s="12" t="s">
        <v>849</v>
      </c>
      <c r="K31" s="12" t="s">
        <v>686</v>
      </c>
      <c r="L31" s="12"/>
      <c r="M31" s="2"/>
      <c r="N31" s="2"/>
      <c r="O31" s="2"/>
      <c r="P31" s="2"/>
      <c r="Q31" s="2"/>
      <c r="R31" s="2"/>
      <c r="S31" s="2"/>
      <c r="T31" s="2"/>
      <c r="U31" s="2"/>
      <c r="V31" s="2"/>
      <c r="W31" s="2"/>
      <c r="X31" s="2"/>
      <c r="Y31" s="2"/>
      <c r="Z31" s="2"/>
    </row>
    <row r="32" customFormat="false" ht="42" hidden="false" customHeight="true" outlineLevel="0" collapsed="false">
      <c r="A32" s="12" t="s">
        <v>369</v>
      </c>
      <c r="B32" s="12" t="s">
        <v>370</v>
      </c>
      <c r="C32" s="12" t="s">
        <v>873</v>
      </c>
      <c r="D32" s="12" t="s">
        <v>853</v>
      </c>
      <c r="E32" s="12" t="s">
        <v>871</v>
      </c>
      <c r="F32" s="12" t="s">
        <v>6</v>
      </c>
      <c r="G32" s="20"/>
      <c r="H32" s="12"/>
      <c r="I32" s="12" t="s">
        <v>849</v>
      </c>
      <c r="J32" s="12" t="s">
        <v>849</v>
      </c>
      <c r="K32" s="12" t="s">
        <v>686</v>
      </c>
      <c r="L32" s="12"/>
      <c r="M32" s="2"/>
      <c r="N32" s="2"/>
      <c r="O32" s="2"/>
      <c r="P32" s="2"/>
      <c r="Q32" s="2"/>
      <c r="R32" s="2"/>
      <c r="S32" s="2"/>
      <c r="T32" s="2"/>
      <c r="U32" s="2"/>
      <c r="V32" s="2"/>
      <c r="W32" s="2"/>
      <c r="X32" s="2"/>
      <c r="Y32" s="2"/>
      <c r="Z32" s="2"/>
    </row>
    <row r="33" customFormat="false" ht="42" hidden="false" customHeight="true" outlineLevel="0" collapsed="false">
      <c r="A33" s="12" t="s">
        <v>378</v>
      </c>
      <c r="B33" s="12" t="s">
        <v>379</v>
      </c>
      <c r="C33" s="12" t="s">
        <v>874</v>
      </c>
      <c r="D33" s="12" t="s">
        <v>854</v>
      </c>
      <c r="E33" s="12" t="s">
        <v>875</v>
      </c>
      <c r="F33" s="12" t="s">
        <v>6</v>
      </c>
      <c r="G33" s="20"/>
      <c r="H33" s="12"/>
      <c r="I33" s="12" t="s">
        <v>849</v>
      </c>
      <c r="J33" s="12" t="s">
        <v>849</v>
      </c>
      <c r="K33" s="12" t="s">
        <v>686</v>
      </c>
      <c r="L33" s="12"/>
      <c r="M33" s="2"/>
      <c r="N33" s="2"/>
      <c r="O33" s="2"/>
      <c r="P33" s="2"/>
      <c r="Q33" s="2"/>
      <c r="R33" s="2"/>
      <c r="S33" s="2"/>
      <c r="T33" s="2"/>
      <c r="U33" s="2"/>
      <c r="V33" s="2"/>
      <c r="W33" s="2"/>
      <c r="X33" s="2"/>
      <c r="Y33" s="2"/>
      <c r="Z33" s="2"/>
    </row>
    <row r="34" customFormat="false" ht="42" hidden="false" customHeight="true" outlineLevel="0" collapsed="false">
      <c r="A34" s="12" t="s">
        <v>387</v>
      </c>
      <c r="B34" s="12" t="s">
        <v>388</v>
      </c>
      <c r="C34" s="12" t="s">
        <v>876</v>
      </c>
      <c r="D34" s="12" t="s">
        <v>854</v>
      </c>
      <c r="E34" s="12" t="s">
        <v>875</v>
      </c>
      <c r="F34" s="12" t="s">
        <v>6</v>
      </c>
      <c r="G34" s="20"/>
      <c r="H34" s="12"/>
      <c r="I34" s="12" t="s">
        <v>849</v>
      </c>
      <c r="J34" s="12" t="s">
        <v>849</v>
      </c>
      <c r="K34" s="12" t="s">
        <v>686</v>
      </c>
      <c r="L34" s="12"/>
      <c r="M34" s="2"/>
      <c r="N34" s="2"/>
      <c r="O34" s="2"/>
      <c r="P34" s="2"/>
      <c r="Q34" s="2"/>
      <c r="R34" s="2"/>
      <c r="S34" s="2"/>
      <c r="T34" s="2"/>
      <c r="U34" s="2"/>
      <c r="V34" s="2"/>
      <c r="W34" s="2"/>
      <c r="X34" s="2"/>
      <c r="Y34" s="2"/>
      <c r="Z34" s="2"/>
    </row>
    <row r="35" customFormat="false" ht="42" hidden="false" customHeight="true" outlineLevel="0" collapsed="false">
      <c r="A35" s="12" t="s">
        <v>396</v>
      </c>
      <c r="B35" s="12" t="s">
        <v>397</v>
      </c>
      <c r="C35" s="12" t="s">
        <v>874</v>
      </c>
      <c r="D35" s="12" t="s">
        <v>854</v>
      </c>
      <c r="E35" s="12" t="s">
        <v>875</v>
      </c>
      <c r="F35" s="12" t="s">
        <v>6</v>
      </c>
      <c r="G35" s="20"/>
      <c r="H35" s="12"/>
      <c r="I35" s="12" t="s">
        <v>849</v>
      </c>
      <c r="J35" s="12" t="s">
        <v>849</v>
      </c>
      <c r="K35" s="12" t="s">
        <v>686</v>
      </c>
      <c r="L35" s="12"/>
      <c r="M35" s="2"/>
      <c r="N35" s="2"/>
      <c r="O35" s="2"/>
      <c r="P35" s="2"/>
      <c r="Q35" s="2"/>
      <c r="R35" s="2"/>
      <c r="S35" s="2"/>
      <c r="T35" s="2"/>
      <c r="U35" s="2"/>
      <c r="V35" s="2"/>
      <c r="W35" s="2"/>
      <c r="X35" s="2"/>
      <c r="Y35" s="2"/>
      <c r="Z35" s="2"/>
    </row>
    <row r="36" customFormat="false" ht="42" hidden="false" customHeight="true" outlineLevel="0" collapsed="false">
      <c r="A36" s="12" t="s">
        <v>407</v>
      </c>
      <c r="B36" s="12" t="s">
        <v>408</v>
      </c>
      <c r="C36" s="12" t="s">
        <v>877</v>
      </c>
      <c r="D36" s="12" t="s">
        <v>854</v>
      </c>
      <c r="E36" s="12" t="s">
        <v>875</v>
      </c>
      <c r="F36" s="12" t="s">
        <v>6</v>
      </c>
      <c r="G36" s="20"/>
      <c r="H36" s="12"/>
      <c r="I36" s="12" t="s">
        <v>849</v>
      </c>
      <c r="J36" s="12" t="s">
        <v>849</v>
      </c>
      <c r="K36" s="12" t="s">
        <v>686</v>
      </c>
      <c r="L36" s="12" t="s">
        <v>709</v>
      </c>
      <c r="M36" s="2"/>
      <c r="N36" s="2"/>
      <c r="O36" s="2"/>
      <c r="P36" s="2"/>
      <c r="Q36" s="2"/>
      <c r="R36" s="2"/>
      <c r="S36" s="2"/>
      <c r="T36" s="2"/>
      <c r="U36" s="2"/>
      <c r="V36" s="2"/>
      <c r="W36" s="2"/>
      <c r="X36" s="2"/>
      <c r="Y36" s="2"/>
      <c r="Z36" s="2"/>
    </row>
    <row r="37" customFormat="false" ht="42" hidden="false" customHeight="true" outlineLevel="0" collapsed="false">
      <c r="A37" s="12" t="s">
        <v>418</v>
      </c>
      <c r="B37" s="12" t="s">
        <v>419</v>
      </c>
      <c r="C37" s="12" t="s">
        <v>877</v>
      </c>
      <c r="D37" s="12" t="s">
        <v>854</v>
      </c>
      <c r="E37" s="12" t="s">
        <v>878</v>
      </c>
      <c r="F37" s="12" t="s">
        <v>849</v>
      </c>
      <c r="G37" s="20"/>
      <c r="H37" s="12"/>
      <c r="I37" s="12" t="s">
        <v>849</v>
      </c>
      <c r="J37" s="12" t="s">
        <v>849</v>
      </c>
      <c r="K37" s="12" t="s">
        <v>686</v>
      </c>
      <c r="L37" s="12"/>
      <c r="M37" s="2"/>
      <c r="N37" s="2"/>
      <c r="O37" s="2"/>
      <c r="P37" s="2"/>
      <c r="Q37" s="2"/>
      <c r="R37" s="2"/>
      <c r="S37" s="2"/>
      <c r="T37" s="2"/>
      <c r="U37" s="2"/>
      <c r="V37" s="2"/>
      <c r="W37" s="2"/>
      <c r="X37" s="2"/>
      <c r="Y37" s="2"/>
      <c r="Z37" s="2"/>
    </row>
    <row r="38" customFormat="false" ht="42" hidden="false" customHeight="true" outlineLevel="0" collapsed="false">
      <c r="A38" s="12" t="s">
        <v>429</v>
      </c>
      <c r="B38" s="12" t="s">
        <v>430</v>
      </c>
      <c r="C38" s="12" t="s">
        <v>879</v>
      </c>
      <c r="D38" s="12" t="s">
        <v>854</v>
      </c>
      <c r="E38" s="12" t="s">
        <v>878</v>
      </c>
      <c r="F38" s="12" t="s">
        <v>849</v>
      </c>
      <c r="G38" s="20"/>
      <c r="H38" s="12"/>
      <c r="I38" s="12" t="s">
        <v>849</v>
      </c>
      <c r="J38" s="12" t="s">
        <v>849</v>
      </c>
      <c r="K38" s="12" t="s">
        <v>686</v>
      </c>
      <c r="L38" s="12"/>
      <c r="M38" s="2"/>
      <c r="N38" s="2"/>
      <c r="O38" s="2"/>
      <c r="P38" s="2"/>
      <c r="Q38" s="2"/>
      <c r="R38" s="2"/>
      <c r="S38" s="2"/>
      <c r="T38" s="2"/>
      <c r="U38" s="2"/>
      <c r="V38" s="2"/>
      <c r="W38" s="2"/>
      <c r="X38" s="2"/>
      <c r="Y38" s="2"/>
      <c r="Z38" s="2"/>
    </row>
    <row r="39" customFormat="false" ht="42" hidden="false" customHeight="true" outlineLevel="0" collapsed="false">
      <c r="A39" s="12" t="s">
        <v>439</v>
      </c>
      <c r="B39" s="12" t="s">
        <v>440</v>
      </c>
      <c r="C39" s="12" t="s">
        <v>879</v>
      </c>
      <c r="D39" s="12" t="s">
        <v>854</v>
      </c>
      <c r="E39" s="12" t="s">
        <v>878</v>
      </c>
      <c r="F39" s="12" t="s">
        <v>849</v>
      </c>
      <c r="G39" s="20"/>
      <c r="H39" s="12"/>
      <c r="I39" s="12" t="s">
        <v>849</v>
      </c>
      <c r="J39" s="12" t="s">
        <v>849</v>
      </c>
      <c r="K39" s="12" t="s">
        <v>686</v>
      </c>
      <c r="L39" s="12"/>
      <c r="M39" s="2"/>
      <c r="N39" s="2"/>
      <c r="O39" s="2"/>
      <c r="P39" s="2"/>
      <c r="Q39" s="2"/>
      <c r="R39" s="2"/>
      <c r="S39" s="2"/>
      <c r="T39" s="2"/>
      <c r="U39" s="2"/>
      <c r="V39" s="2"/>
      <c r="W39" s="2"/>
      <c r="X39" s="2"/>
      <c r="Y39" s="2"/>
      <c r="Z39" s="2"/>
    </row>
    <row r="40" customFormat="false" ht="42" hidden="false" customHeight="true" outlineLevel="0" collapsed="false">
      <c r="A40" s="12" t="s">
        <v>450</v>
      </c>
      <c r="B40" s="12" t="s">
        <v>451</v>
      </c>
      <c r="C40" s="12" t="s">
        <v>880</v>
      </c>
      <c r="D40" s="12" t="s">
        <v>854</v>
      </c>
      <c r="E40" s="12" t="s">
        <v>875</v>
      </c>
      <c r="F40" s="12" t="s">
        <v>6</v>
      </c>
      <c r="G40" s="20"/>
      <c r="H40" s="12"/>
      <c r="I40" s="12" t="s">
        <v>849</v>
      </c>
      <c r="J40" s="12" t="s">
        <v>849</v>
      </c>
      <c r="K40" s="12" t="s">
        <v>686</v>
      </c>
      <c r="L40" s="12"/>
      <c r="M40" s="2"/>
      <c r="N40" s="2"/>
      <c r="O40" s="2"/>
      <c r="P40" s="2"/>
      <c r="Q40" s="2"/>
      <c r="R40" s="2"/>
      <c r="S40" s="2"/>
      <c r="T40" s="2"/>
      <c r="U40" s="2"/>
      <c r="V40" s="2"/>
      <c r="W40" s="2"/>
      <c r="X40" s="2"/>
      <c r="Y40" s="2"/>
      <c r="Z40" s="2"/>
    </row>
    <row r="41" customFormat="false" ht="42" hidden="false" customHeight="true" outlineLevel="0" collapsed="false">
      <c r="A41" s="12" t="s">
        <v>461</v>
      </c>
      <c r="B41" s="12" t="s">
        <v>462</v>
      </c>
      <c r="C41" s="12" t="s">
        <v>877</v>
      </c>
      <c r="D41" s="12" t="s">
        <v>854</v>
      </c>
      <c r="E41" s="12" t="s">
        <v>878</v>
      </c>
      <c r="F41" s="12" t="s">
        <v>849</v>
      </c>
      <c r="G41" s="20"/>
      <c r="H41" s="12"/>
      <c r="I41" s="12" t="s">
        <v>849</v>
      </c>
      <c r="J41" s="12" t="s">
        <v>849</v>
      </c>
      <c r="K41" s="12" t="s">
        <v>686</v>
      </c>
      <c r="L41" s="12"/>
      <c r="M41" s="2"/>
      <c r="N41" s="2"/>
      <c r="O41" s="2"/>
      <c r="P41" s="2"/>
      <c r="Q41" s="2"/>
      <c r="R41" s="2"/>
      <c r="S41" s="2"/>
      <c r="T41" s="2"/>
      <c r="U41" s="2"/>
      <c r="V41" s="2"/>
      <c r="W41" s="2"/>
      <c r="X41" s="2"/>
      <c r="Y41" s="2"/>
      <c r="Z41" s="2"/>
    </row>
    <row r="42" customFormat="false" ht="42" hidden="false" customHeight="true" outlineLevel="0" collapsed="false">
      <c r="A42" s="12" t="s">
        <v>471</v>
      </c>
      <c r="B42" s="12" t="s">
        <v>472</v>
      </c>
      <c r="C42" s="12" t="s">
        <v>881</v>
      </c>
      <c r="D42" s="12" t="s">
        <v>882</v>
      </c>
      <c r="E42" s="12" t="s">
        <v>881</v>
      </c>
      <c r="F42" s="12" t="s">
        <v>6</v>
      </c>
      <c r="G42" s="20"/>
      <c r="H42" s="12"/>
      <c r="I42" s="12" t="s">
        <v>849</v>
      </c>
      <c r="J42" s="12" t="s">
        <v>849</v>
      </c>
      <c r="K42" s="12" t="s">
        <v>686</v>
      </c>
      <c r="L42" s="12"/>
      <c r="M42" s="2"/>
      <c r="N42" s="2"/>
      <c r="O42" s="2"/>
      <c r="P42" s="2"/>
      <c r="Q42" s="2"/>
      <c r="R42" s="2"/>
      <c r="S42" s="2"/>
      <c r="T42" s="2"/>
      <c r="U42" s="2"/>
      <c r="V42" s="2"/>
      <c r="W42" s="2"/>
      <c r="X42" s="2"/>
      <c r="Y42" s="2"/>
      <c r="Z42" s="2"/>
    </row>
    <row r="43" customFormat="false" ht="42" hidden="false" customHeight="true" outlineLevel="0" collapsed="false">
      <c r="A43" s="12" t="s">
        <v>482</v>
      </c>
      <c r="B43" s="12" t="s">
        <v>483</v>
      </c>
      <c r="C43" s="12" t="s">
        <v>881</v>
      </c>
      <c r="D43" s="12" t="s">
        <v>882</v>
      </c>
      <c r="E43" s="12" t="s">
        <v>881</v>
      </c>
      <c r="F43" s="12" t="s">
        <v>6</v>
      </c>
      <c r="G43" s="20"/>
      <c r="H43" s="12"/>
      <c r="I43" s="12" t="s">
        <v>849</v>
      </c>
      <c r="J43" s="12" t="s">
        <v>849</v>
      </c>
      <c r="K43" s="12" t="s">
        <v>686</v>
      </c>
      <c r="L43" s="12"/>
      <c r="M43" s="2"/>
      <c r="N43" s="2"/>
      <c r="O43" s="2"/>
      <c r="P43" s="2"/>
      <c r="Q43" s="2"/>
      <c r="R43" s="2"/>
      <c r="S43" s="2"/>
      <c r="T43" s="2"/>
      <c r="U43" s="2"/>
      <c r="V43" s="2"/>
      <c r="W43" s="2"/>
      <c r="X43" s="2"/>
      <c r="Y43" s="2"/>
      <c r="Z43" s="2"/>
    </row>
    <row r="44" customFormat="false" ht="42" hidden="false" customHeight="true" outlineLevel="0" collapsed="false">
      <c r="A44" s="12" t="s">
        <v>493</v>
      </c>
      <c r="B44" s="12" t="s">
        <v>494</v>
      </c>
      <c r="C44" s="12" t="s">
        <v>883</v>
      </c>
      <c r="D44" s="12" t="s">
        <v>854</v>
      </c>
      <c r="E44" s="12" t="s">
        <v>848</v>
      </c>
      <c r="F44" s="12" t="s">
        <v>6</v>
      </c>
      <c r="G44" s="20"/>
      <c r="H44" s="12"/>
      <c r="I44" s="12" t="s">
        <v>687</v>
      </c>
      <c r="J44" s="12" t="s">
        <v>686</v>
      </c>
      <c r="K44" s="12" t="s">
        <v>686</v>
      </c>
      <c r="L44" s="12" t="s">
        <v>713</v>
      </c>
      <c r="M44" s="2"/>
      <c r="N44" s="2"/>
      <c r="O44" s="2"/>
      <c r="P44" s="2"/>
      <c r="Q44" s="2"/>
      <c r="R44" s="2"/>
      <c r="S44" s="2"/>
      <c r="T44" s="2"/>
      <c r="U44" s="2"/>
      <c r="V44" s="2"/>
      <c r="W44" s="2"/>
      <c r="X44" s="2"/>
      <c r="Y44" s="2"/>
      <c r="Z44" s="2"/>
    </row>
    <row r="45" customFormat="false" ht="42" hidden="false" customHeight="true" outlineLevel="0" collapsed="false">
      <c r="A45" s="12" t="s">
        <v>504</v>
      </c>
      <c r="B45" s="12" t="s">
        <v>505</v>
      </c>
      <c r="C45" s="12" t="s">
        <v>884</v>
      </c>
      <c r="D45" s="12" t="s">
        <v>885</v>
      </c>
      <c r="E45" s="12" t="s">
        <v>848</v>
      </c>
      <c r="F45" s="12" t="s">
        <v>6</v>
      </c>
      <c r="G45" s="20"/>
      <c r="H45" s="12"/>
      <c r="I45" s="12" t="s">
        <v>687</v>
      </c>
      <c r="J45" s="12" t="s">
        <v>686</v>
      </c>
      <c r="K45" s="12" t="s">
        <v>686</v>
      </c>
      <c r="L45" s="12" t="s">
        <v>713</v>
      </c>
      <c r="M45" s="2"/>
      <c r="N45" s="2"/>
      <c r="O45" s="2"/>
      <c r="P45" s="2"/>
      <c r="Q45" s="2"/>
      <c r="R45" s="2"/>
      <c r="S45" s="2"/>
      <c r="T45" s="2"/>
      <c r="U45" s="2"/>
      <c r="V45" s="2"/>
      <c r="W45" s="2"/>
      <c r="X45" s="2"/>
      <c r="Y45" s="2"/>
      <c r="Z45" s="2"/>
    </row>
    <row r="46" customFormat="false" ht="42" hidden="false" customHeight="true" outlineLevel="0" collapsed="false">
      <c r="A46" s="12" t="s">
        <v>515</v>
      </c>
      <c r="B46" s="12" t="s">
        <v>516</v>
      </c>
      <c r="C46" s="12" t="s">
        <v>884</v>
      </c>
      <c r="D46" s="12" t="s">
        <v>885</v>
      </c>
      <c r="E46" s="12" t="s">
        <v>848</v>
      </c>
      <c r="F46" s="12" t="s">
        <v>6</v>
      </c>
      <c r="G46" s="20"/>
      <c r="H46" s="12"/>
      <c r="I46" s="12" t="s">
        <v>687</v>
      </c>
      <c r="J46" s="12" t="s">
        <v>686</v>
      </c>
      <c r="K46" s="12" t="s">
        <v>686</v>
      </c>
      <c r="L46" s="12" t="s">
        <v>713</v>
      </c>
      <c r="M46" s="2"/>
      <c r="N46" s="2"/>
      <c r="O46" s="2"/>
      <c r="P46" s="2"/>
      <c r="Q46" s="2"/>
      <c r="R46" s="2"/>
      <c r="S46" s="2"/>
      <c r="T46" s="2"/>
      <c r="U46" s="2"/>
      <c r="V46" s="2"/>
      <c r="W46" s="2"/>
      <c r="X46" s="2"/>
      <c r="Y46" s="2"/>
      <c r="Z46" s="2"/>
    </row>
    <row r="47" customFormat="false" ht="42" hidden="false" customHeight="true" outlineLevel="0" collapsed="false">
      <c r="A47" s="12" t="s">
        <v>526</v>
      </c>
      <c r="B47" s="12" t="s">
        <v>527</v>
      </c>
      <c r="C47" s="12" t="s">
        <v>861</v>
      </c>
      <c r="D47" s="12" t="s">
        <v>862</v>
      </c>
      <c r="E47" s="12" t="s">
        <v>863</v>
      </c>
      <c r="F47" s="12" t="s">
        <v>6</v>
      </c>
      <c r="G47" s="20"/>
      <c r="H47" s="12"/>
      <c r="I47" s="12" t="s">
        <v>687</v>
      </c>
      <c r="J47" s="12" t="s">
        <v>686</v>
      </c>
      <c r="K47" s="12" t="s">
        <v>686</v>
      </c>
      <c r="L47" s="12" t="s">
        <v>713</v>
      </c>
      <c r="M47" s="2"/>
      <c r="N47" s="2"/>
      <c r="O47" s="2"/>
      <c r="P47" s="2"/>
      <c r="Q47" s="2"/>
      <c r="R47" s="2"/>
      <c r="S47" s="2"/>
      <c r="T47" s="2"/>
      <c r="U47" s="2"/>
      <c r="V47" s="2"/>
      <c r="W47" s="2"/>
      <c r="X47" s="2"/>
      <c r="Y47" s="2"/>
      <c r="Z47" s="2"/>
    </row>
    <row r="48" customFormat="false" ht="42" hidden="false" customHeight="true" outlineLevel="0" collapsed="false">
      <c r="A48" s="12" t="s">
        <v>537</v>
      </c>
      <c r="B48" s="12" t="s">
        <v>538</v>
      </c>
      <c r="C48" s="12" t="s">
        <v>886</v>
      </c>
      <c r="D48" s="12" t="s">
        <v>885</v>
      </c>
      <c r="E48" s="12" t="s">
        <v>887</v>
      </c>
      <c r="F48" s="12" t="s">
        <v>6</v>
      </c>
      <c r="G48" s="20"/>
      <c r="H48" s="12"/>
      <c r="I48" s="12" t="s">
        <v>849</v>
      </c>
      <c r="J48" s="12" t="s">
        <v>849</v>
      </c>
      <c r="K48" s="12" t="s">
        <v>686</v>
      </c>
      <c r="L48" s="12"/>
      <c r="M48" s="2"/>
      <c r="N48" s="2"/>
      <c r="O48" s="2"/>
      <c r="P48" s="2"/>
      <c r="Q48" s="2"/>
      <c r="R48" s="2"/>
      <c r="S48" s="2"/>
      <c r="T48" s="2"/>
      <c r="U48" s="2"/>
      <c r="V48" s="2"/>
      <c r="W48" s="2"/>
      <c r="X48" s="2"/>
      <c r="Y48" s="2"/>
      <c r="Z48" s="2"/>
    </row>
    <row r="49" customFormat="false" ht="42" hidden="false" customHeight="true" outlineLevel="0" collapsed="false">
      <c r="A49" s="12" t="s">
        <v>548</v>
      </c>
      <c r="B49" s="12" t="s">
        <v>549</v>
      </c>
      <c r="C49" s="12" t="s">
        <v>886</v>
      </c>
      <c r="D49" s="12" t="s">
        <v>854</v>
      </c>
      <c r="E49" s="12" t="s">
        <v>887</v>
      </c>
      <c r="F49" s="12" t="s">
        <v>6</v>
      </c>
      <c r="G49" s="20"/>
      <c r="H49" s="12"/>
      <c r="I49" s="12" t="s">
        <v>849</v>
      </c>
      <c r="J49" s="12" t="s">
        <v>849</v>
      </c>
      <c r="K49" s="12" t="s">
        <v>686</v>
      </c>
      <c r="L49" s="12"/>
      <c r="M49" s="2"/>
      <c r="N49" s="2"/>
      <c r="O49" s="2"/>
      <c r="P49" s="2"/>
      <c r="Q49" s="2"/>
      <c r="R49" s="2"/>
      <c r="S49" s="2"/>
      <c r="T49" s="2"/>
      <c r="U49" s="2"/>
      <c r="V49" s="2"/>
      <c r="W49" s="2"/>
      <c r="X49" s="2"/>
      <c r="Y49" s="2"/>
      <c r="Z49" s="2"/>
    </row>
    <row r="50" customFormat="false" ht="42" hidden="false" customHeight="true" outlineLevel="0" collapsed="false">
      <c r="A50" s="12" t="s">
        <v>559</v>
      </c>
      <c r="B50" s="12" t="s">
        <v>560</v>
      </c>
      <c r="C50" s="12" t="s">
        <v>886</v>
      </c>
      <c r="D50" s="12" t="s">
        <v>854</v>
      </c>
      <c r="E50" s="12" t="s">
        <v>887</v>
      </c>
      <c r="F50" s="12" t="s">
        <v>6</v>
      </c>
      <c r="G50" s="20"/>
      <c r="H50" s="12"/>
      <c r="I50" s="12" t="s">
        <v>849</v>
      </c>
      <c r="J50" s="12" t="s">
        <v>849</v>
      </c>
      <c r="K50" s="12" t="s">
        <v>686</v>
      </c>
      <c r="L50" s="12"/>
      <c r="M50" s="2"/>
      <c r="N50" s="2"/>
      <c r="O50" s="2"/>
      <c r="P50" s="2"/>
      <c r="Q50" s="2"/>
      <c r="R50" s="2"/>
      <c r="S50" s="2"/>
      <c r="T50" s="2"/>
      <c r="U50" s="2"/>
      <c r="V50" s="2"/>
      <c r="W50" s="2"/>
      <c r="X50" s="2"/>
      <c r="Y50" s="2"/>
      <c r="Z50" s="2"/>
    </row>
    <row r="51" customFormat="false" ht="42" hidden="false" customHeight="true" outlineLevel="0" collapsed="false">
      <c r="A51" s="12" t="s">
        <v>570</v>
      </c>
      <c r="B51" s="12" t="s">
        <v>571</v>
      </c>
      <c r="C51" s="12" t="s">
        <v>886</v>
      </c>
      <c r="D51" s="12" t="s">
        <v>854</v>
      </c>
      <c r="E51" s="12" t="s">
        <v>887</v>
      </c>
      <c r="F51" s="12" t="s">
        <v>6</v>
      </c>
      <c r="G51" s="20"/>
      <c r="H51" s="12"/>
      <c r="I51" s="12" t="s">
        <v>849</v>
      </c>
      <c r="J51" s="12" t="s">
        <v>849</v>
      </c>
      <c r="K51" s="12" t="s">
        <v>686</v>
      </c>
      <c r="L51" s="12"/>
      <c r="M51" s="2"/>
      <c r="N51" s="2"/>
      <c r="O51" s="2"/>
      <c r="P51" s="2"/>
      <c r="Q51" s="2"/>
      <c r="R51" s="2"/>
      <c r="S51" s="2"/>
      <c r="T51" s="2"/>
      <c r="U51" s="2"/>
      <c r="V51" s="2"/>
      <c r="W51" s="2"/>
      <c r="X51" s="2"/>
      <c r="Y51" s="2"/>
      <c r="Z51" s="2"/>
    </row>
    <row r="52" customFormat="false" ht="42" hidden="false" customHeight="true" outlineLevel="0" collapsed="false">
      <c r="A52" s="12" t="s">
        <v>581</v>
      </c>
      <c r="B52" s="12" t="s">
        <v>582</v>
      </c>
      <c r="C52" s="12" t="s">
        <v>884</v>
      </c>
      <c r="D52" s="12" t="s">
        <v>854</v>
      </c>
      <c r="E52" s="12" t="s">
        <v>887</v>
      </c>
      <c r="F52" s="12" t="s">
        <v>6</v>
      </c>
      <c r="G52" s="20"/>
      <c r="H52" s="12"/>
      <c r="I52" s="12" t="s">
        <v>849</v>
      </c>
      <c r="J52" s="12" t="s">
        <v>849</v>
      </c>
      <c r="K52" s="12" t="s">
        <v>686</v>
      </c>
      <c r="L52" s="12"/>
      <c r="M52" s="2"/>
      <c r="N52" s="2"/>
      <c r="O52" s="2"/>
      <c r="P52" s="2"/>
      <c r="Q52" s="2"/>
      <c r="R52" s="2"/>
      <c r="S52" s="2"/>
      <c r="T52" s="2"/>
      <c r="U52" s="2"/>
      <c r="V52" s="2"/>
      <c r="W52" s="2"/>
      <c r="X52" s="2"/>
      <c r="Y52" s="2"/>
      <c r="Z52" s="2"/>
    </row>
    <row r="53" customFormat="false" ht="42" hidden="false" customHeight="true" outlineLevel="0" collapsed="false">
      <c r="A53" s="12" t="s">
        <v>590</v>
      </c>
      <c r="B53" s="12" t="s">
        <v>591</v>
      </c>
      <c r="C53" s="12" t="s">
        <v>888</v>
      </c>
      <c r="D53" s="12" t="s">
        <v>854</v>
      </c>
      <c r="E53" s="12" t="s">
        <v>848</v>
      </c>
      <c r="F53" s="12" t="s">
        <v>6</v>
      </c>
      <c r="G53" s="20"/>
      <c r="H53" s="12"/>
      <c r="I53" s="12" t="s">
        <v>849</v>
      </c>
      <c r="J53" s="12" t="s">
        <v>849</v>
      </c>
      <c r="K53" s="12" t="s">
        <v>686</v>
      </c>
      <c r="L53" s="12"/>
      <c r="M53" s="2"/>
      <c r="N53" s="2"/>
      <c r="O53" s="2"/>
      <c r="P53" s="2"/>
      <c r="Q53" s="2"/>
      <c r="R53" s="2"/>
      <c r="S53" s="2"/>
      <c r="T53" s="2"/>
      <c r="U53" s="2"/>
      <c r="V53" s="2"/>
      <c r="W53" s="2"/>
      <c r="X53" s="2"/>
      <c r="Y53" s="2"/>
      <c r="Z53" s="2"/>
    </row>
    <row r="54" customFormat="false" ht="42" hidden="false" customHeight="true" outlineLevel="0" collapsed="false">
      <c r="A54" s="12" t="s">
        <v>601</v>
      </c>
      <c r="B54" s="12" t="s">
        <v>602</v>
      </c>
      <c r="C54" s="12" t="s">
        <v>889</v>
      </c>
      <c r="D54" s="12" t="s">
        <v>885</v>
      </c>
      <c r="E54" s="12" t="s">
        <v>887</v>
      </c>
      <c r="F54" s="12" t="s">
        <v>6</v>
      </c>
      <c r="G54" s="20"/>
      <c r="H54" s="12"/>
      <c r="I54" s="12" t="s">
        <v>849</v>
      </c>
      <c r="J54" s="12" t="s">
        <v>849</v>
      </c>
      <c r="K54" s="12" t="s">
        <v>686</v>
      </c>
      <c r="L54" s="12"/>
      <c r="M54" s="2"/>
      <c r="N54" s="2"/>
      <c r="O54" s="2"/>
      <c r="P54" s="2"/>
      <c r="Q54" s="2"/>
      <c r="R54" s="2"/>
      <c r="S54" s="2"/>
      <c r="T54" s="2"/>
      <c r="U54" s="2"/>
      <c r="V54" s="2"/>
      <c r="W54" s="2"/>
      <c r="X54" s="2"/>
      <c r="Y54" s="2"/>
      <c r="Z54" s="2"/>
    </row>
    <row r="55" customFormat="false" ht="42" hidden="false" customHeight="true" outlineLevel="0" collapsed="false">
      <c r="A55" s="12" t="s">
        <v>612</v>
      </c>
      <c r="B55" s="12" t="s">
        <v>613</v>
      </c>
      <c r="C55" s="12" t="s">
        <v>890</v>
      </c>
      <c r="D55" s="12" t="s">
        <v>853</v>
      </c>
      <c r="E55" s="12" t="s">
        <v>848</v>
      </c>
      <c r="F55" s="12" t="s">
        <v>6</v>
      </c>
      <c r="G55" s="20"/>
      <c r="H55" s="12"/>
      <c r="I55" s="12" t="s">
        <v>849</v>
      </c>
      <c r="J55" s="12" t="s">
        <v>849</v>
      </c>
      <c r="K55" s="12" t="s">
        <v>686</v>
      </c>
      <c r="L55" s="12"/>
      <c r="M55" s="2"/>
      <c r="N55" s="2"/>
      <c r="O55" s="2"/>
      <c r="P55" s="2"/>
      <c r="Q55" s="2"/>
      <c r="R55" s="2"/>
      <c r="S55" s="2"/>
      <c r="T55" s="2"/>
      <c r="U55" s="2"/>
      <c r="V55" s="2"/>
      <c r="W55" s="2"/>
      <c r="X55" s="2"/>
      <c r="Y55" s="2"/>
      <c r="Z55" s="2"/>
    </row>
    <row r="56" customFormat="false" ht="42" hidden="false" customHeight="true" outlineLevel="0" collapsed="false">
      <c r="A56" s="12" t="s">
        <v>623</v>
      </c>
      <c r="B56" s="12" t="s">
        <v>624</v>
      </c>
      <c r="C56" s="12" t="s">
        <v>891</v>
      </c>
      <c r="D56" s="12" t="s">
        <v>853</v>
      </c>
      <c r="E56" s="12" t="s">
        <v>848</v>
      </c>
      <c r="F56" s="12" t="s">
        <v>6</v>
      </c>
      <c r="G56" s="20"/>
      <c r="H56" s="12"/>
      <c r="I56" s="12" t="s">
        <v>849</v>
      </c>
      <c r="J56" s="12" t="s">
        <v>849</v>
      </c>
      <c r="K56" s="12" t="s">
        <v>686</v>
      </c>
      <c r="L56" s="12"/>
      <c r="M56" s="2"/>
      <c r="N56" s="2"/>
      <c r="O56" s="2"/>
      <c r="P56" s="2"/>
      <c r="Q56" s="2"/>
      <c r="R56" s="2"/>
      <c r="S56" s="2"/>
      <c r="T56" s="2"/>
      <c r="U56" s="2"/>
      <c r="V56" s="2"/>
      <c r="W56" s="2"/>
      <c r="X56" s="2"/>
      <c r="Y56" s="2"/>
      <c r="Z56" s="2"/>
    </row>
    <row r="57" customFormat="false" ht="42" hidden="false" customHeight="true" outlineLevel="0" collapsed="false">
      <c r="A57" s="12" t="s">
        <v>634</v>
      </c>
      <c r="B57" s="12" t="s">
        <v>635</v>
      </c>
      <c r="C57" s="12" t="s">
        <v>892</v>
      </c>
      <c r="D57" s="12" t="s">
        <v>853</v>
      </c>
      <c r="E57" s="12" t="s">
        <v>848</v>
      </c>
      <c r="F57" s="12" t="s">
        <v>6</v>
      </c>
      <c r="G57" s="20"/>
      <c r="H57" s="12"/>
      <c r="I57" s="12" t="s">
        <v>849</v>
      </c>
      <c r="J57" s="12" t="s">
        <v>849</v>
      </c>
      <c r="K57" s="12" t="s">
        <v>686</v>
      </c>
      <c r="L57" s="12"/>
      <c r="M57" s="2"/>
      <c r="N57" s="2"/>
      <c r="O57" s="2"/>
      <c r="P57" s="2"/>
      <c r="Q57" s="2"/>
      <c r="R57" s="2"/>
      <c r="S57" s="2"/>
      <c r="T57" s="2"/>
      <c r="U57" s="2"/>
      <c r="V57" s="2"/>
      <c r="W57" s="2"/>
      <c r="X57" s="2"/>
      <c r="Y57" s="2"/>
      <c r="Z57" s="2"/>
    </row>
    <row r="58" customFormat="false" ht="42" hidden="false" customHeight="true" outlineLevel="0" collapsed="false">
      <c r="A58" s="12" t="s">
        <v>645</v>
      </c>
      <c r="B58" s="12" t="s">
        <v>646</v>
      </c>
      <c r="C58" s="12" t="s">
        <v>892</v>
      </c>
      <c r="D58" s="12" t="s">
        <v>853</v>
      </c>
      <c r="E58" s="12" t="s">
        <v>848</v>
      </c>
      <c r="F58" s="12" t="s">
        <v>6</v>
      </c>
      <c r="G58" s="20"/>
      <c r="H58" s="12"/>
      <c r="I58" s="12" t="s">
        <v>849</v>
      </c>
      <c r="J58" s="12" t="s">
        <v>849</v>
      </c>
      <c r="K58" s="12" t="s">
        <v>686</v>
      </c>
      <c r="L58" s="12"/>
      <c r="M58" s="2"/>
      <c r="N58" s="2"/>
      <c r="O58" s="2"/>
      <c r="P58" s="2"/>
      <c r="Q58" s="2"/>
      <c r="R58" s="2"/>
      <c r="S58" s="2"/>
      <c r="T58" s="2"/>
      <c r="U58" s="2"/>
      <c r="V58" s="2"/>
      <c r="W58" s="2"/>
      <c r="X58" s="2"/>
      <c r="Y58" s="2"/>
      <c r="Z58" s="2"/>
    </row>
    <row r="59" customFormat="false" ht="42" hidden="false" customHeight="true" outlineLevel="0" collapsed="false">
      <c r="A59" s="12" t="s">
        <v>656</v>
      </c>
      <c r="B59" s="12" t="s">
        <v>657</v>
      </c>
      <c r="C59" s="12" t="s">
        <v>890</v>
      </c>
      <c r="D59" s="12" t="s">
        <v>853</v>
      </c>
      <c r="E59" s="12" t="s">
        <v>848</v>
      </c>
      <c r="F59" s="12" t="s">
        <v>6</v>
      </c>
      <c r="G59" s="20"/>
      <c r="H59" s="12"/>
      <c r="I59" s="12" t="s">
        <v>849</v>
      </c>
      <c r="J59" s="12" t="s">
        <v>849</v>
      </c>
      <c r="K59" s="12" t="s">
        <v>686</v>
      </c>
      <c r="L59" s="12"/>
      <c r="M59" s="2"/>
      <c r="N59" s="2"/>
      <c r="O59" s="2"/>
      <c r="P59" s="2"/>
      <c r="Q59" s="2"/>
      <c r="R59" s="2"/>
      <c r="S59" s="2"/>
      <c r="T59" s="2"/>
      <c r="U59" s="2"/>
      <c r="V59" s="2"/>
      <c r="W59" s="2"/>
      <c r="X59" s="2"/>
      <c r="Y59" s="2"/>
      <c r="Z59" s="2"/>
    </row>
    <row r="60" customFormat="false" ht="14.25" hidden="false" customHeight="fals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4.25" hidden="false" customHeight="fals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4.25" hidden="false" customHeight="fals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4.25" hidden="false" customHeight="fals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4.25" hidden="false" customHeight="fals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4.25" hidden="false" customHeight="fals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4.25" hidden="false" customHeight="fals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4.25" hidden="false" customHeight="fals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4.25" hidden="false" customHeight="fals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4.25" hidden="false" customHeight="fals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4.25" hidden="false" customHeight="fals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4.25" hidden="false" customHeight="fals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4.25" hidden="false" customHeight="fals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4.25" hidden="false" customHeight="fals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4.25" hidden="false" customHeight="fals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4.25" hidden="false" customHeight="fals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4.25" hidden="false" customHeight="fals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4.25" hidden="false" customHeight="fals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4.25" hidden="false" customHeight="fals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4.25" hidden="false" customHeight="fals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4.25" hidden="false" customHeight="fals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4.25" hidden="false" customHeight="fals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4.25" hidden="false" customHeight="fals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4.25" hidden="false" customHeight="fals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4.25" hidden="false" customHeight="fals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4.25" hidden="false" customHeight="fals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4.25" hidden="false" customHeight="fals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4.25" hidden="false" customHeight="fals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4.25" hidden="false" customHeight="fals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4.25" hidden="false" customHeight="fals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4.25" hidden="false" customHeight="fals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4.25" hidden="false" customHeight="fals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4.25" hidden="false" customHeight="fals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4.25" hidden="false" customHeight="fals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4.25" hidden="false" customHeight="fals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4.25" hidden="false" customHeight="fals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4.25" hidden="false" customHeight="fals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4.25" hidden="false" customHeight="fals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4.25" hidden="false" customHeight="fals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4.25" hidden="false" customHeight="fals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4.25" hidden="false" customHeight="fals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4.25" hidden="false" customHeight="fals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4.25" hidden="false" customHeight="fals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4.25" hidden="false" customHeight="fals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4.25" hidden="false" customHeight="fals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4.25" hidden="false" customHeight="fals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4.25" hidden="false" customHeight="fals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4.25" hidden="false" customHeight="fals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4.25" hidden="false" customHeight="fals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4.25" hidden="false" customHeight="fals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4.25" hidden="false" customHeight="fals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4.25" hidden="false" customHeight="fals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4.25" hidden="false" customHeight="fals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4.25" hidden="false" customHeight="fals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4.25" hidden="false" customHeight="fals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4.25" hidden="false" customHeight="fals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4.25" hidden="false" customHeight="fals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4.25" hidden="false" customHeight="fals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4.25" hidden="false" customHeight="fals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4.25" hidden="false" customHeight="fals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4.25" hidden="false" customHeight="fals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4.25" hidden="false" customHeight="fals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4.25" hidden="false" customHeight="fals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4.25" hidden="false" customHeight="fals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4.25" hidden="false" customHeight="fals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4.25" hidden="false" customHeight="fals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4.25" hidden="false" customHeight="fals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4.25" hidden="false" customHeight="fals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4.25" hidden="false" customHeight="fals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4.25" hidden="false" customHeight="fals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4.25" hidden="false" customHeight="fals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4.25" hidden="false" customHeight="fals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4.25" hidden="false" customHeight="fals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4.25" hidden="false" customHeight="fals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4.25" hidden="false" customHeight="fals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4.25" hidden="false" customHeight="fals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4.25" hidden="false" customHeight="fals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4.25" hidden="false" customHeight="fals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4.25" hidden="false" customHeight="fals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4.25" hidden="false" customHeight="fals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4.25" hidden="false" customHeight="fals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4.25" hidden="false" customHeight="fals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4.25" hidden="false" customHeight="fals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4.25" hidden="false" customHeight="fals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4.25" hidden="false" customHeight="fals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4.25" hidden="false" customHeight="fals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4.25" hidden="false" customHeight="fals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4.25" hidden="false" customHeight="fals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4.25" hidden="false" customHeight="fals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4.25" hidden="false" customHeight="fals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4.25" hidden="false" customHeight="fals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4.25" hidden="false" customHeight="fals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4.25" hidden="false" customHeight="fals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4.25" hidden="false" customHeight="fals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4.25" hidden="false" customHeight="fals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4.25" hidden="false" customHeight="fals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4.25" hidden="false" customHeight="fals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4.25" hidden="false" customHeight="fals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4.25" hidden="false" customHeight="fals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4.25" hidden="false" customHeight="fals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4.25" hidden="false" customHeight="fals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4.25" hidden="false" customHeight="fals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4.25" hidden="false" customHeight="fals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4.25" hidden="false" customHeight="fals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4.25" hidden="false" customHeight="fals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4.25" hidden="false" customHeight="fals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4.25" hidden="false" customHeight="fals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4.25" hidden="false" customHeight="fals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4.25" hidden="false" customHeight="fals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4.25" hidden="false" customHeight="fals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4.25" hidden="false" customHeight="fals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4.25" hidden="false" customHeight="fals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4.25" hidden="false" customHeight="fals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4.25" hidden="false" customHeight="fals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4.25" hidden="false" customHeight="fals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4.25" hidden="false" customHeight="fals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4.25" hidden="false" customHeight="fals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4.25" hidden="false" customHeight="fals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4.25" hidden="false" customHeight="fals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4.25" hidden="false" customHeight="fals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4.25" hidden="false" customHeight="fals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4.25" hidden="false" customHeight="fals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4.25" hidden="false" customHeight="fals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4.25" hidden="false" customHeight="fals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4.25" hidden="false" customHeight="fals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4.25" hidden="false" customHeight="fals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4.25" hidden="false" customHeight="fals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4.25" hidden="false" customHeight="fals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4.25" hidden="false" customHeight="fals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4.25" hidden="false" customHeight="fals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4.25" hidden="false" customHeight="fals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4.25" hidden="false" customHeight="fals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4.25" hidden="false" customHeight="fals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4.25" hidden="false" customHeight="fals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4.25" hidden="false" customHeight="fals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4.25" hidden="false" customHeight="fals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4.25" hidden="false" customHeight="fals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4.25" hidden="false" customHeight="fals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4.25" hidden="false" customHeight="fals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4.25" hidden="false" customHeight="fals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4.25" hidden="false" customHeight="fals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sheetData>
  <autoFilter ref="A4:L59"/>
  <mergeCells count="2">
    <mergeCell ref="A1:L1"/>
    <mergeCell ref="A2:L2"/>
  </mergeCells>
  <conditionalFormatting sqref="I5:K59">
    <cfRule type="expression" priority="2" aboveAverage="0" equalAverage="0" bottom="0" percent="0" rank="0" text="" dxfId="17">
      <formula>I5="Verificar"</formula>
    </cfRule>
    <cfRule type="cellIs" priority="3" operator="equal" aboveAverage="0" equalAverage="0" bottom="0" percent="0" rank="0" text="" dxfId="18">
      <formula>"Verificar"</formula>
    </cfRule>
  </conditionalFormatting>
  <dataValidations count="2">
    <dataValidation allowBlank="true" errorStyle="stop" operator="between" showDropDown="false" showErrorMessage="false" showInputMessage="false" sqref="D5:D59" type="list">
      <formula1>Lista_Temperatura</formula1>
      <formula2>0</formula2>
    </dataValidation>
    <dataValidation allowBlank="true" errorStyle="stop" operator="between" showDropDown="false" showErrorMessage="false" showInputMessage="false" sqref="I5:K59" type="list">
      <formula1>Lista_SNV</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B966E"/>
    <pageSetUpPr fitToPage="false"/>
  </sheetPr>
  <dimension ref="A1:Z200"/>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pane xSplit="2" ySplit="4" topLeftCell="C5" activePane="bottomRight" state="frozen"/>
      <selection pane="topLeft" activeCell="A10" activeCellId="0" sqref="A10"/>
      <selection pane="topRight" activeCell="C10" activeCellId="0" sqref="C10"/>
      <selection pane="bottomLeft" activeCell="A5" activeCellId="0" sqref="A5"/>
      <selection pane="bottomRight" activeCell="A1" activeCellId="0" sqref="A1"/>
    </sheetView>
  </sheetViews>
  <sheetFormatPr defaultColWidth="9.00390625" defaultRowHeight="14.2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14" min="3" style="0" width="22"/>
    <col collapsed="false" customWidth="true" hidden="false" outlineLevel="0" max="15" min="15" style="0" width="18"/>
    <col collapsed="false" customWidth="true" hidden="false" outlineLevel="0" max="16" min="16" style="0" width="46"/>
  </cols>
  <sheetData>
    <row r="1" customFormat="false" ht="30" hidden="false" customHeight="true" outlineLevel="0" collapsed="false">
      <c r="A1" s="1" t="s">
        <v>893</v>
      </c>
      <c r="B1" s="1"/>
      <c r="C1" s="1"/>
      <c r="D1" s="1"/>
      <c r="E1" s="1"/>
      <c r="F1" s="1"/>
      <c r="G1" s="1"/>
      <c r="H1" s="1"/>
      <c r="I1" s="1"/>
      <c r="J1" s="1"/>
      <c r="K1" s="1"/>
      <c r="L1" s="1"/>
      <c r="M1" s="1"/>
      <c r="N1" s="1"/>
      <c r="O1" s="1"/>
      <c r="P1" s="1"/>
      <c r="Q1" s="2"/>
      <c r="R1" s="2"/>
      <c r="S1" s="2"/>
      <c r="T1" s="2"/>
      <c r="U1" s="2"/>
      <c r="V1" s="2"/>
      <c r="W1" s="2"/>
      <c r="X1" s="2"/>
      <c r="Y1" s="2"/>
      <c r="Z1" s="2"/>
    </row>
    <row r="2" customFormat="false" ht="30" hidden="false" customHeight="true" outlineLevel="0" collapsed="false">
      <c r="A2" s="3" t="s">
        <v>894</v>
      </c>
      <c r="B2" s="3"/>
      <c r="C2" s="3"/>
      <c r="D2" s="3"/>
      <c r="E2" s="3"/>
      <c r="F2" s="3"/>
      <c r="G2" s="3"/>
      <c r="H2" s="3"/>
      <c r="I2" s="3"/>
      <c r="J2" s="3"/>
      <c r="K2" s="3"/>
      <c r="L2" s="3"/>
      <c r="M2" s="3"/>
      <c r="N2" s="3"/>
      <c r="O2" s="3"/>
      <c r="P2" s="3"/>
      <c r="Q2" s="2"/>
      <c r="R2" s="2"/>
      <c r="S2" s="2"/>
      <c r="T2" s="2"/>
      <c r="U2" s="2"/>
      <c r="V2" s="2"/>
      <c r="W2" s="2"/>
      <c r="X2" s="2"/>
      <c r="Y2" s="2"/>
      <c r="Z2" s="2"/>
    </row>
    <row r="3" customFormat="false" ht="14.25" hidden="false" customHeight="false" outlineLevel="0" collapsed="false">
      <c r="A3" s="2"/>
      <c r="B3" s="2"/>
      <c r="C3" s="2"/>
      <c r="D3" s="2"/>
      <c r="E3" s="2"/>
      <c r="F3" s="2"/>
      <c r="G3" s="2"/>
      <c r="H3" s="2"/>
      <c r="I3" s="2"/>
      <c r="J3" s="2"/>
      <c r="K3" s="2"/>
      <c r="L3" s="2"/>
      <c r="M3" s="2"/>
      <c r="N3" s="2"/>
      <c r="O3" s="2"/>
      <c r="P3" s="2"/>
      <c r="Q3" s="2"/>
      <c r="R3" s="2"/>
      <c r="S3" s="2"/>
      <c r="T3" s="2"/>
      <c r="U3" s="2"/>
      <c r="V3" s="2"/>
      <c r="W3" s="2"/>
      <c r="X3" s="2"/>
      <c r="Y3" s="2"/>
      <c r="Z3" s="2"/>
    </row>
    <row r="4" customFormat="false" ht="36" hidden="false" customHeight="true" outlineLevel="0" collapsed="false">
      <c r="A4" s="11" t="s">
        <v>79</v>
      </c>
      <c r="B4" s="11" t="s">
        <v>821</v>
      </c>
      <c r="C4" s="11" t="s">
        <v>895</v>
      </c>
      <c r="D4" s="11" t="s">
        <v>896</v>
      </c>
      <c r="E4" s="11" t="s">
        <v>897</v>
      </c>
      <c r="F4" s="11" t="s">
        <v>898</v>
      </c>
      <c r="G4" s="11" t="s">
        <v>899</v>
      </c>
      <c r="H4" s="11" t="s">
        <v>900</v>
      </c>
      <c r="I4" s="11" t="s">
        <v>901</v>
      </c>
      <c r="J4" s="11" t="s">
        <v>902</v>
      </c>
      <c r="K4" s="11" t="s">
        <v>903</v>
      </c>
      <c r="L4" s="11" t="s">
        <v>904</v>
      </c>
      <c r="M4" s="11" t="s">
        <v>905</v>
      </c>
      <c r="N4" s="11" t="s">
        <v>906</v>
      </c>
      <c r="O4" s="11" t="s">
        <v>907</v>
      </c>
      <c r="P4" s="11" t="s">
        <v>683</v>
      </c>
      <c r="Q4" s="2"/>
      <c r="R4" s="2"/>
      <c r="S4" s="2"/>
      <c r="T4" s="2"/>
      <c r="U4" s="2"/>
      <c r="V4" s="2"/>
      <c r="W4" s="2"/>
      <c r="X4" s="2"/>
      <c r="Y4" s="2"/>
      <c r="Z4" s="2"/>
    </row>
    <row r="5" customFormat="false" ht="42" hidden="false" customHeight="true" outlineLevel="0" collapsed="false">
      <c r="A5" s="12" t="s">
        <v>91</v>
      </c>
      <c r="B5" s="12" t="s">
        <v>92</v>
      </c>
      <c r="C5" s="20" t="s">
        <v>908</v>
      </c>
      <c r="D5" s="20" t="s">
        <v>909</v>
      </c>
      <c r="E5" s="20" t="s">
        <v>910</v>
      </c>
      <c r="F5" s="20" t="s">
        <v>911</v>
      </c>
      <c r="G5" s="20" t="s">
        <v>912</v>
      </c>
      <c r="H5" s="20" t="s">
        <v>451</v>
      </c>
      <c r="I5" s="20"/>
      <c r="J5" s="20"/>
      <c r="K5" s="20"/>
      <c r="L5" s="20"/>
      <c r="M5" s="20"/>
      <c r="N5" s="20"/>
      <c r="O5" s="20" t="s">
        <v>913</v>
      </c>
      <c r="P5" s="20"/>
      <c r="Q5" s="2"/>
      <c r="R5" s="2"/>
      <c r="S5" s="2"/>
      <c r="T5" s="2"/>
      <c r="U5" s="2"/>
      <c r="V5" s="2"/>
      <c r="W5" s="2"/>
      <c r="X5" s="2"/>
      <c r="Y5" s="2"/>
      <c r="Z5" s="2"/>
    </row>
    <row r="6" customFormat="false" ht="42" hidden="false" customHeight="true" outlineLevel="0" collapsed="false">
      <c r="A6" s="12" t="s">
        <v>102</v>
      </c>
      <c r="B6" s="12" t="s">
        <v>103</v>
      </c>
      <c r="C6" s="20" t="s">
        <v>910</v>
      </c>
      <c r="D6" s="20" t="s">
        <v>911</v>
      </c>
      <c r="E6" s="20" t="s">
        <v>914</v>
      </c>
      <c r="F6" s="20" t="s">
        <v>912</v>
      </c>
      <c r="G6" s="20" t="s">
        <v>451</v>
      </c>
      <c r="H6" s="20"/>
      <c r="I6" s="20"/>
      <c r="J6" s="20"/>
      <c r="K6" s="20"/>
      <c r="L6" s="20"/>
      <c r="M6" s="20"/>
      <c r="N6" s="20"/>
      <c r="O6" s="20" t="s">
        <v>913</v>
      </c>
      <c r="P6" s="20"/>
      <c r="Q6" s="2"/>
      <c r="R6" s="2"/>
      <c r="S6" s="2"/>
      <c r="T6" s="2"/>
      <c r="U6" s="2"/>
      <c r="V6" s="2"/>
      <c r="W6" s="2"/>
      <c r="X6" s="2"/>
      <c r="Y6" s="2"/>
      <c r="Z6" s="2"/>
    </row>
    <row r="7" customFormat="false" ht="42" hidden="false" customHeight="true" outlineLevel="0" collapsed="false">
      <c r="A7" s="12" t="s">
        <v>113</v>
      </c>
      <c r="B7" s="12" t="s">
        <v>114</v>
      </c>
      <c r="C7" s="20" t="s">
        <v>191</v>
      </c>
      <c r="D7" s="20" t="s">
        <v>912</v>
      </c>
      <c r="E7" s="20" t="s">
        <v>451</v>
      </c>
      <c r="F7" s="20"/>
      <c r="G7" s="20"/>
      <c r="H7" s="20"/>
      <c r="I7" s="20"/>
      <c r="J7" s="20"/>
      <c r="K7" s="20"/>
      <c r="L7" s="20"/>
      <c r="M7" s="20"/>
      <c r="N7" s="20"/>
      <c r="O7" s="20" t="s">
        <v>913</v>
      </c>
      <c r="P7" s="20"/>
      <c r="Q7" s="2"/>
      <c r="R7" s="2"/>
      <c r="S7" s="2"/>
      <c r="T7" s="2"/>
      <c r="U7" s="2"/>
      <c r="V7" s="2"/>
      <c r="W7" s="2"/>
      <c r="X7" s="2"/>
      <c r="Y7" s="2"/>
      <c r="Z7" s="2"/>
    </row>
    <row r="8" customFormat="false" ht="42" hidden="false" customHeight="true" outlineLevel="0" collapsed="false">
      <c r="A8" s="12" t="s">
        <v>124</v>
      </c>
      <c r="B8" s="12" t="s">
        <v>125</v>
      </c>
      <c r="C8" s="20" t="s">
        <v>915</v>
      </c>
      <c r="D8" s="20" t="s">
        <v>916</v>
      </c>
      <c r="E8" s="20" t="s">
        <v>917</v>
      </c>
      <c r="F8" s="20" t="s">
        <v>918</v>
      </c>
      <c r="G8" s="20" t="s">
        <v>919</v>
      </c>
      <c r="H8" s="20" t="s">
        <v>920</v>
      </c>
      <c r="I8" s="20" t="s">
        <v>912</v>
      </c>
      <c r="J8" s="20" t="s">
        <v>451</v>
      </c>
      <c r="K8" s="20"/>
      <c r="L8" s="20"/>
      <c r="M8" s="20"/>
      <c r="N8" s="20"/>
      <c r="O8" s="20" t="s">
        <v>913</v>
      </c>
      <c r="P8" s="20"/>
      <c r="Q8" s="2"/>
      <c r="R8" s="2"/>
      <c r="S8" s="2"/>
      <c r="T8" s="2"/>
      <c r="U8" s="2"/>
      <c r="V8" s="2"/>
      <c r="W8" s="2"/>
      <c r="X8" s="2"/>
      <c r="Y8" s="2"/>
      <c r="Z8" s="2"/>
    </row>
    <row r="9" customFormat="false" ht="42" hidden="false" customHeight="true" outlineLevel="0" collapsed="false">
      <c r="A9" s="12" t="s">
        <v>135</v>
      </c>
      <c r="B9" s="12" t="s">
        <v>136</v>
      </c>
      <c r="C9" s="20" t="s">
        <v>908</v>
      </c>
      <c r="D9" s="20" t="s">
        <v>921</v>
      </c>
      <c r="E9" s="20"/>
      <c r="F9" s="20"/>
      <c r="G9" s="20"/>
      <c r="H9" s="20"/>
      <c r="I9" s="20"/>
      <c r="J9" s="20"/>
      <c r="K9" s="20"/>
      <c r="L9" s="20"/>
      <c r="M9" s="20"/>
      <c r="N9" s="20"/>
      <c r="O9" s="20" t="s">
        <v>913</v>
      </c>
      <c r="P9" s="20" t="s">
        <v>692</v>
      </c>
      <c r="Q9" s="2"/>
      <c r="R9" s="2"/>
      <c r="S9" s="2"/>
      <c r="T9" s="2"/>
      <c r="U9" s="2"/>
      <c r="V9" s="2"/>
      <c r="W9" s="2"/>
      <c r="X9" s="2"/>
      <c r="Y9" s="2"/>
      <c r="Z9" s="2"/>
    </row>
    <row r="10" customFormat="false" ht="42" hidden="false" customHeight="true" outlineLevel="0" collapsed="false">
      <c r="A10" s="12" t="s">
        <v>146</v>
      </c>
      <c r="B10" s="12" t="s">
        <v>147</v>
      </c>
      <c r="C10" s="20" t="s">
        <v>916</v>
      </c>
      <c r="D10" s="20"/>
      <c r="E10" s="20"/>
      <c r="F10" s="20"/>
      <c r="G10" s="20"/>
      <c r="H10" s="20"/>
      <c r="I10" s="20"/>
      <c r="J10" s="20"/>
      <c r="K10" s="20"/>
      <c r="L10" s="20"/>
      <c r="M10" s="20"/>
      <c r="N10" s="20"/>
      <c r="O10" s="20" t="s">
        <v>913</v>
      </c>
      <c r="P10" s="20"/>
      <c r="Q10" s="2"/>
      <c r="R10" s="2"/>
      <c r="S10" s="2"/>
      <c r="T10" s="2"/>
      <c r="U10" s="2"/>
      <c r="V10" s="2"/>
      <c r="W10" s="2"/>
      <c r="X10" s="2"/>
      <c r="Y10" s="2"/>
      <c r="Z10" s="2"/>
    </row>
    <row r="11" customFormat="false" ht="42" hidden="false" customHeight="true" outlineLevel="0" collapsed="false">
      <c r="A11" s="12" t="s">
        <v>157</v>
      </c>
      <c r="B11" s="12" t="s">
        <v>158</v>
      </c>
      <c r="C11" s="20" t="s">
        <v>922</v>
      </c>
      <c r="D11" s="20" t="s">
        <v>923</v>
      </c>
      <c r="E11" s="20" t="s">
        <v>908</v>
      </c>
      <c r="F11" s="20" t="s">
        <v>924</v>
      </c>
      <c r="G11" s="20"/>
      <c r="H11" s="20"/>
      <c r="I11" s="20"/>
      <c r="J11" s="20"/>
      <c r="K11" s="20"/>
      <c r="L11" s="20"/>
      <c r="M11" s="20"/>
      <c r="N11" s="20"/>
      <c r="O11" s="20" t="s">
        <v>913</v>
      </c>
      <c r="P11" s="20"/>
      <c r="Q11" s="2"/>
      <c r="R11" s="2"/>
      <c r="S11" s="2"/>
      <c r="T11" s="2"/>
      <c r="U11" s="2"/>
      <c r="V11" s="2"/>
      <c r="W11" s="2"/>
      <c r="X11" s="2"/>
      <c r="Y11" s="2"/>
      <c r="Z11" s="2"/>
    </row>
    <row r="12" customFormat="false" ht="42" hidden="false" customHeight="true" outlineLevel="0" collapsed="false">
      <c r="A12" s="12" t="s">
        <v>168</v>
      </c>
      <c r="B12" s="12" t="s">
        <v>169</v>
      </c>
      <c r="C12" s="20" t="s">
        <v>925</v>
      </c>
      <c r="D12" s="20" t="s">
        <v>926</v>
      </c>
      <c r="E12" s="20" t="s">
        <v>927</v>
      </c>
      <c r="F12" s="20" t="s">
        <v>928</v>
      </c>
      <c r="G12" s="20" t="s">
        <v>929</v>
      </c>
      <c r="H12" s="20"/>
      <c r="I12" s="20"/>
      <c r="J12" s="20"/>
      <c r="K12" s="20"/>
      <c r="L12" s="20"/>
      <c r="M12" s="20"/>
      <c r="N12" s="20"/>
      <c r="O12" s="20" t="s">
        <v>913</v>
      </c>
      <c r="P12" s="20"/>
      <c r="Q12" s="2"/>
      <c r="R12" s="2"/>
      <c r="S12" s="2"/>
      <c r="T12" s="2"/>
      <c r="U12" s="2"/>
      <c r="V12" s="2"/>
      <c r="W12" s="2"/>
      <c r="X12" s="2"/>
      <c r="Y12" s="2"/>
      <c r="Z12" s="2"/>
    </row>
    <row r="13" customFormat="false" ht="42" hidden="false" customHeight="true" outlineLevel="0" collapsed="false">
      <c r="A13" s="12" t="s">
        <v>179</v>
      </c>
      <c r="B13" s="12" t="s">
        <v>180</v>
      </c>
      <c r="C13" s="20" t="s">
        <v>930</v>
      </c>
      <c r="D13" s="20" t="s">
        <v>908</v>
      </c>
      <c r="E13" s="20" t="s">
        <v>927</v>
      </c>
      <c r="F13" s="20" t="s">
        <v>926</v>
      </c>
      <c r="G13" s="20" t="s">
        <v>931</v>
      </c>
      <c r="H13" s="20"/>
      <c r="I13" s="20"/>
      <c r="J13" s="20"/>
      <c r="K13" s="20"/>
      <c r="L13" s="20"/>
      <c r="M13" s="20"/>
      <c r="N13" s="20"/>
      <c r="O13" s="20" t="s">
        <v>913</v>
      </c>
      <c r="P13" s="20" t="s">
        <v>693</v>
      </c>
      <c r="Q13" s="2"/>
      <c r="R13" s="2"/>
      <c r="S13" s="2"/>
      <c r="T13" s="2"/>
      <c r="U13" s="2"/>
      <c r="V13" s="2"/>
      <c r="W13" s="2"/>
      <c r="X13" s="2"/>
      <c r="Y13" s="2"/>
      <c r="Z13" s="2"/>
    </row>
    <row r="14" customFormat="false" ht="42" hidden="false" customHeight="true" outlineLevel="0" collapsed="false">
      <c r="A14" s="12" t="s">
        <v>190</v>
      </c>
      <c r="B14" s="12" t="s">
        <v>191</v>
      </c>
      <c r="C14" s="20" t="s">
        <v>925</v>
      </c>
      <c r="D14" s="20" t="s">
        <v>926</v>
      </c>
      <c r="E14" s="20" t="s">
        <v>932</v>
      </c>
      <c r="F14" s="20" t="s">
        <v>933</v>
      </c>
      <c r="G14" s="20"/>
      <c r="H14" s="20"/>
      <c r="I14" s="20"/>
      <c r="J14" s="20"/>
      <c r="K14" s="20"/>
      <c r="L14" s="20"/>
      <c r="M14" s="20"/>
      <c r="N14" s="20"/>
      <c r="O14" s="20" t="s">
        <v>913</v>
      </c>
      <c r="P14" s="20"/>
      <c r="Q14" s="2"/>
      <c r="R14" s="2"/>
      <c r="S14" s="2"/>
      <c r="T14" s="2"/>
      <c r="U14" s="2"/>
      <c r="V14" s="2"/>
      <c r="W14" s="2"/>
      <c r="X14" s="2"/>
      <c r="Y14" s="2"/>
      <c r="Z14" s="2"/>
    </row>
    <row r="15" customFormat="false" ht="42" hidden="false" customHeight="true" outlineLevel="0" collapsed="false">
      <c r="A15" s="12" t="s">
        <v>200</v>
      </c>
      <c r="B15" s="12" t="s">
        <v>201</v>
      </c>
      <c r="C15" s="20" t="s">
        <v>934</v>
      </c>
      <c r="D15" s="20" t="s">
        <v>935</v>
      </c>
      <c r="E15" s="20"/>
      <c r="F15" s="20"/>
      <c r="G15" s="20"/>
      <c r="H15" s="20"/>
      <c r="I15" s="20"/>
      <c r="J15" s="20"/>
      <c r="K15" s="20"/>
      <c r="L15" s="20"/>
      <c r="M15" s="20"/>
      <c r="N15" s="20"/>
      <c r="O15" s="20" t="s">
        <v>913</v>
      </c>
      <c r="P15" s="20" t="s">
        <v>695</v>
      </c>
      <c r="Q15" s="2"/>
      <c r="R15" s="2"/>
      <c r="S15" s="2"/>
      <c r="T15" s="2"/>
      <c r="U15" s="2"/>
      <c r="V15" s="2"/>
      <c r="W15" s="2"/>
      <c r="X15" s="2"/>
      <c r="Y15" s="2"/>
      <c r="Z15" s="2"/>
    </row>
    <row r="16" customFormat="false" ht="42" hidden="false" customHeight="true" outlineLevel="0" collapsed="false">
      <c r="A16" s="12" t="s">
        <v>208</v>
      </c>
      <c r="B16" s="12" t="s">
        <v>209</v>
      </c>
      <c r="C16" s="20" t="s">
        <v>936</v>
      </c>
      <c r="D16" s="20" t="s">
        <v>932</v>
      </c>
      <c r="E16" s="20"/>
      <c r="F16" s="20"/>
      <c r="G16" s="20"/>
      <c r="H16" s="20"/>
      <c r="I16" s="20"/>
      <c r="J16" s="20"/>
      <c r="K16" s="20"/>
      <c r="L16" s="20"/>
      <c r="M16" s="20"/>
      <c r="N16" s="20"/>
      <c r="O16" s="20" t="s">
        <v>913</v>
      </c>
      <c r="P16" s="20"/>
      <c r="Q16" s="2"/>
      <c r="R16" s="2"/>
      <c r="S16" s="2"/>
      <c r="T16" s="2"/>
      <c r="U16" s="2"/>
      <c r="V16" s="2"/>
      <c r="W16" s="2"/>
      <c r="X16" s="2"/>
      <c r="Y16" s="2"/>
      <c r="Z16" s="2"/>
    </row>
    <row r="17" customFormat="false" ht="42" hidden="false" customHeight="true" outlineLevel="0" collapsed="false">
      <c r="A17" s="12" t="s">
        <v>219</v>
      </c>
      <c r="B17" s="12" t="s">
        <v>220</v>
      </c>
      <c r="C17" s="20" t="s">
        <v>937</v>
      </c>
      <c r="D17" s="20" t="s">
        <v>938</v>
      </c>
      <c r="E17" s="20" t="s">
        <v>939</v>
      </c>
      <c r="F17" s="20" t="s">
        <v>940</v>
      </c>
      <c r="G17" s="20" t="s">
        <v>932</v>
      </c>
      <c r="H17" s="20"/>
      <c r="I17" s="20"/>
      <c r="J17" s="20"/>
      <c r="K17" s="20"/>
      <c r="L17" s="20"/>
      <c r="M17" s="20"/>
      <c r="N17" s="20"/>
      <c r="O17" s="20" t="s">
        <v>913</v>
      </c>
      <c r="P17" s="20"/>
      <c r="Q17" s="2"/>
      <c r="R17" s="2"/>
      <c r="S17" s="2"/>
      <c r="T17" s="2"/>
      <c r="U17" s="2"/>
      <c r="V17" s="2"/>
      <c r="W17" s="2"/>
      <c r="X17" s="2"/>
      <c r="Y17" s="2"/>
      <c r="Z17" s="2"/>
    </row>
    <row r="18" customFormat="false" ht="42" hidden="false" customHeight="true" outlineLevel="0" collapsed="false">
      <c r="A18" s="12" t="s">
        <v>230</v>
      </c>
      <c r="B18" s="12" t="s">
        <v>231</v>
      </c>
      <c r="C18" s="20" t="s">
        <v>941</v>
      </c>
      <c r="D18" s="20" t="s">
        <v>942</v>
      </c>
      <c r="E18" s="20" t="s">
        <v>943</v>
      </c>
      <c r="F18" s="20" t="s">
        <v>932</v>
      </c>
      <c r="G18" s="20"/>
      <c r="H18" s="20"/>
      <c r="I18" s="20"/>
      <c r="J18" s="20"/>
      <c r="K18" s="20"/>
      <c r="L18" s="20"/>
      <c r="M18" s="20"/>
      <c r="N18" s="20"/>
      <c r="O18" s="20" t="s">
        <v>913</v>
      </c>
      <c r="P18" s="20"/>
      <c r="Q18" s="2"/>
      <c r="R18" s="2"/>
      <c r="S18" s="2"/>
      <c r="T18" s="2"/>
      <c r="U18" s="2"/>
      <c r="V18" s="2"/>
      <c r="W18" s="2"/>
      <c r="X18" s="2"/>
      <c r="Y18" s="2"/>
      <c r="Z18" s="2"/>
    </row>
    <row r="19" customFormat="false" ht="42" hidden="false" customHeight="true" outlineLevel="0" collapsed="false">
      <c r="A19" s="12" t="s">
        <v>241</v>
      </c>
      <c r="B19" s="12" t="s">
        <v>242</v>
      </c>
      <c r="C19" s="20" t="s">
        <v>939</v>
      </c>
      <c r="D19" s="20" t="s">
        <v>940</v>
      </c>
      <c r="E19" s="20" t="s">
        <v>942</v>
      </c>
      <c r="F19" s="20" t="s">
        <v>932</v>
      </c>
      <c r="G19" s="20"/>
      <c r="H19" s="20"/>
      <c r="I19" s="20"/>
      <c r="J19" s="20"/>
      <c r="K19" s="20"/>
      <c r="L19" s="20"/>
      <c r="M19" s="20"/>
      <c r="N19" s="20"/>
      <c r="O19" s="20" t="s">
        <v>913</v>
      </c>
      <c r="P19" s="20"/>
      <c r="Q19" s="2"/>
      <c r="R19" s="2"/>
      <c r="S19" s="2"/>
      <c r="T19" s="2"/>
      <c r="U19" s="2"/>
      <c r="V19" s="2"/>
      <c r="W19" s="2"/>
      <c r="X19" s="2"/>
      <c r="Y19" s="2"/>
      <c r="Z19" s="2"/>
    </row>
    <row r="20" customFormat="false" ht="42" hidden="false" customHeight="true" outlineLevel="0" collapsed="false">
      <c r="A20" s="12" t="s">
        <v>252</v>
      </c>
      <c r="B20" s="12" t="s">
        <v>253</v>
      </c>
      <c r="C20" s="20" t="s">
        <v>944</v>
      </c>
      <c r="D20" s="20" t="s">
        <v>945</v>
      </c>
      <c r="E20" s="20" t="s">
        <v>946</v>
      </c>
      <c r="F20" s="20" t="s">
        <v>932</v>
      </c>
      <c r="G20" s="20"/>
      <c r="H20" s="20"/>
      <c r="I20" s="20"/>
      <c r="J20" s="20"/>
      <c r="K20" s="20"/>
      <c r="L20" s="20"/>
      <c r="M20" s="20"/>
      <c r="N20" s="20"/>
      <c r="O20" s="20" t="s">
        <v>913</v>
      </c>
      <c r="P20" s="20"/>
      <c r="Q20" s="2"/>
      <c r="R20" s="2"/>
      <c r="S20" s="2"/>
      <c r="T20" s="2"/>
      <c r="U20" s="2"/>
      <c r="V20" s="2"/>
      <c r="W20" s="2"/>
      <c r="X20" s="2"/>
      <c r="Y20" s="2"/>
      <c r="Z20" s="2"/>
    </row>
    <row r="21" customFormat="false" ht="42" hidden="false" customHeight="true" outlineLevel="0" collapsed="false">
      <c r="A21" s="12" t="s">
        <v>263</v>
      </c>
      <c r="B21" s="12" t="s">
        <v>264</v>
      </c>
      <c r="C21" s="20" t="s">
        <v>947</v>
      </c>
      <c r="D21" s="20" t="s">
        <v>948</v>
      </c>
      <c r="E21" s="20" t="s">
        <v>941</v>
      </c>
      <c r="F21" s="20" t="s">
        <v>942</v>
      </c>
      <c r="G21" s="20" t="s">
        <v>932</v>
      </c>
      <c r="H21" s="20"/>
      <c r="I21" s="20"/>
      <c r="J21" s="20"/>
      <c r="K21" s="20"/>
      <c r="L21" s="20"/>
      <c r="M21" s="20"/>
      <c r="N21" s="20"/>
      <c r="O21" s="20" t="s">
        <v>913</v>
      </c>
      <c r="P21" s="20"/>
      <c r="Q21" s="2"/>
      <c r="R21" s="2"/>
      <c r="S21" s="2"/>
      <c r="T21" s="2"/>
      <c r="U21" s="2"/>
      <c r="V21" s="2"/>
      <c r="W21" s="2"/>
      <c r="X21" s="2"/>
      <c r="Y21" s="2"/>
      <c r="Z21" s="2"/>
    </row>
    <row r="22" customFormat="false" ht="42" hidden="false" customHeight="true" outlineLevel="0" collapsed="false">
      <c r="A22" s="12" t="s">
        <v>274</v>
      </c>
      <c r="B22" s="12" t="s">
        <v>275</v>
      </c>
      <c r="C22" s="20" t="s">
        <v>947</v>
      </c>
      <c r="D22" s="20" t="s">
        <v>949</v>
      </c>
      <c r="E22" s="20" t="s">
        <v>950</v>
      </c>
      <c r="F22" s="20" t="s">
        <v>941</v>
      </c>
      <c r="G22" s="20" t="s">
        <v>932</v>
      </c>
      <c r="H22" s="20"/>
      <c r="I22" s="20"/>
      <c r="J22" s="20"/>
      <c r="K22" s="20"/>
      <c r="L22" s="20"/>
      <c r="M22" s="20"/>
      <c r="N22" s="20"/>
      <c r="O22" s="20" t="s">
        <v>913</v>
      </c>
      <c r="P22" s="20"/>
      <c r="Q22" s="2"/>
      <c r="R22" s="2"/>
      <c r="S22" s="2"/>
      <c r="T22" s="2"/>
      <c r="U22" s="2"/>
      <c r="V22" s="2"/>
      <c r="W22" s="2"/>
      <c r="X22" s="2"/>
      <c r="Y22" s="2"/>
      <c r="Z22" s="2"/>
    </row>
    <row r="23" customFormat="false" ht="42" hidden="false" customHeight="true" outlineLevel="0" collapsed="false">
      <c r="A23" s="12" t="s">
        <v>285</v>
      </c>
      <c r="B23" s="12" t="s">
        <v>286</v>
      </c>
      <c r="C23" s="20" t="s">
        <v>951</v>
      </c>
      <c r="D23" s="20" t="s">
        <v>952</v>
      </c>
      <c r="E23" s="20" t="s">
        <v>953</v>
      </c>
      <c r="F23" s="20" t="s">
        <v>932</v>
      </c>
      <c r="G23" s="20"/>
      <c r="H23" s="20"/>
      <c r="I23" s="20"/>
      <c r="J23" s="20"/>
      <c r="K23" s="20"/>
      <c r="L23" s="20"/>
      <c r="M23" s="20"/>
      <c r="N23" s="20"/>
      <c r="O23" s="20" t="s">
        <v>913</v>
      </c>
      <c r="P23" s="20"/>
      <c r="Q23" s="2"/>
      <c r="R23" s="2"/>
      <c r="S23" s="2"/>
      <c r="T23" s="2"/>
      <c r="U23" s="2"/>
      <c r="V23" s="2"/>
      <c r="W23" s="2"/>
      <c r="X23" s="2"/>
      <c r="Y23" s="2"/>
      <c r="Z23" s="2"/>
    </row>
    <row r="24" customFormat="false" ht="42" hidden="false" customHeight="true" outlineLevel="0" collapsed="false">
      <c r="A24" s="12" t="s">
        <v>296</v>
      </c>
      <c r="B24" s="12" t="s">
        <v>297</v>
      </c>
      <c r="C24" s="20" t="s">
        <v>954</v>
      </c>
      <c r="D24" s="20" t="s">
        <v>955</v>
      </c>
      <c r="E24" s="20"/>
      <c r="F24" s="20"/>
      <c r="G24" s="20"/>
      <c r="H24" s="20"/>
      <c r="I24" s="20"/>
      <c r="J24" s="20"/>
      <c r="K24" s="20"/>
      <c r="L24" s="20"/>
      <c r="M24" s="20"/>
      <c r="N24" s="20"/>
      <c r="O24" s="20" t="s">
        <v>913</v>
      </c>
      <c r="P24" s="20"/>
      <c r="Q24" s="2"/>
      <c r="R24" s="2"/>
      <c r="S24" s="2"/>
      <c r="T24" s="2"/>
      <c r="U24" s="2"/>
      <c r="V24" s="2"/>
      <c r="W24" s="2"/>
      <c r="X24" s="2"/>
      <c r="Y24" s="2"/>
      <c r="Z24" s="2"/>
    </row>
    <row r="25" customFormat="false" ht="42" hidden="false" customHeight="true" outlineLevel="0" collapsed="false">
      <c r="A25" s="12" t="s">
        <v>306</v>
      </c>
      <c r="B25" s="12" t="s">
        <v>307</v>
      </c>
      <c r="C25" s="20" t="s">
        <v>954</v>
      </c>
      <c r="D25" s="20" t="s">
        <v>956</v>
      </c>
      <c r="E25" s="20" t="s">
        <v>957</v>
      </c>
      <c r="F25" s="20" t="s">
        <v>958</v>
      </c>
      <c r="G25" s="20" t="s">
        <v>959</v>
      </c>
      <c r="H25" s="20" t="s">
        <v>948</v>
      </c>
      <c r="I25" s="20" t="s">
        <v>960</v>
      </c>
      <c r="J25" s="20"/>
      <c r="K25" s="20"/>
      <c r="L25" s="20"/>
      <c r="M25" s="20"/>
      <c r="N25" s="20"/>
      <c r="O25" s="20" t="s">
        <v>913</v>
      </c>
      <c r="P25" s="20"/>
      <c r="Q25" s="2"/>
      <c r="R25" s="2"/>
      <c r="S25" s="2"/>
      <c r="T25" s="2"/>
      <c r="U25" s="2"/>
      <c r="V25" s="2"/>
      <c r="W25" s="2"/>
      <c r="X25" s="2"/>
      <c r="Y25" s="2"/>
      <c r="Z25" s="2"/>
    </row>
    <row r="26" customFormat="false" ht="42" hidden="false" customHeight="true" outlineLevel="0" collapsed="false">
      <c r="A26" s="12" t="s">
        <v>316</v>
      </c>
      <c r="B26" s="12" t="s">
        <v>317</v>
      </c>
      <c r="C26" s="20" t="s">
        <v>961</v>
      </c>
      <c r="D26" s="20" t="s">
        <v>932</v>
      </c>
      <c r="E26" s="20"/>
      <c r="F26" s="20"/>
      <c r="G26" s="20"/>
      <c r="H26" s="20"/>
      <c r="I26" s="20"/>
      <c r="J26" s="20"/>
      <c r="K26" s="20"/>
      <c r="L26" s="20"/>
      <c r="M26" s="20"/>
      <c r="N26" s="20"/>
      <c r="O26" s="20" t="s">
        <v>913</v>
      </c>
      <c r="P26" s="20"/>
      <c r="Q26" s="2"/>
      <c r="R26" s="2"/>
      <c r="S26" s="2"/>
      <c r="T26" s="2"/>
      <c r="U26" s="2"/>
      <c r="V26" s="2"/>
      <c r="W26" s="2"/>
      <c r="X26" s="2"/>
      <c r="Y26" s="2"/>
      <c r="Z26" s="2"/>
    </row>
    <row r="27" customFormat="false" ht="42" hidden="false" customHeight="true" outlineLevel="0" collapsed="false">
      <c r="A27" s="12" t="s">
        <v>325</v>
      </c>
      <c r="B27" s="12" t="s">
        <v>326</v>
      </c>
      <c r="C27" s="20" t="s">
        <v>961</v>
      </c>
      <c r="D27" s="20" t="s">
        <v>954</v>
      </c>
      <c r="E27" s="20"/>
      <c r="F27" s="20"/>
      <c r="G27" s="20"/>
      <c r="H27" s="20"/>
      <c r="I27" s="20"/>
      <c r="J27" s="20"/>
      <c r="K27" s="20"/>
      <c r="L27" s="20"/>
      <c r="M27" s="20"/>
      <c r="N27" s="20"/>
      <c r="O27" s="20" t="s">
        <v>913</v>
      </c>
      <c r="P27" s="20"/>
      <c r="Q27" s="2"/>
      <c r="R27" s="2"/>
      <c r="S27" s="2"/>
      <c r="T27" s="2"/>
      <c r="U27" s="2"/>
      <c r="V27" s="2"/>
      <c r="W27" s="2"/>
      <c r="X27" s="2"/>
      <c r="Y27" s="2"/>
      <c r="Z27" s="2"/>
    </row>
    <row r="28" customFormat="false" ht="42" hidden="false" customHeight="true" outlineLevel="0" collapsed="false">
      <c r="A28" s="12" t="s">
        <v>334</v>
      </c>
      <c r="B28" s="12" t="s">
        <v>335</v>
      </c>
      <c r="C28" s="20" t="s">
        <v>771</v>
      </c>
      <c r="D28" s="20" t="s">
        <v>954</v>
      </c>
      <c r="E28" s="20"/>
      <c r="F28" s="20"/>
      <c r="G28" s="20"/>
      <c r="H28" s="20"/>
      <c r="I28" s="20"/>
      <c r="J28" s="20"/>
      <c r="K28" s="20"/>
      <c r="L28" s="20"/>
      <c r="M28" s="20"/>
      <c r="N28" s="20"/>
      <c r="O28" s="20" t="s">
        <v>913</v>
      </c>
      <c r="P28" s="20"/>
      <c r="Q28" s="2"/>
      <c r="R28" s="2"/>
      <c r="S28" s="2"/>
      <c r="T28" s="2"/>
      <c r="U28" s="2"/>
      <c r="V28" s="2"/>
      <c r="W28" s="2"/>
      <c r="X28" s="2"/>
      <c r="Y28" s="2"/>
      <c r="Z28" s="2"/>
    </row>
    <row r="29" customFormat="false" ht="42" hidden="false" customHeight="true" outlineLevel="0" collapsed="false">
      <c r="A29" s="12" t="s">
        <v>345</v>
      </c>
      <c r="B29" s="12" t="s">
        <v>346</v>
      </c>
      <c r="C29" s="20" t="s">
        <v>954</v>
      </c>
      <c r="D29" s="20" t="s">
        <v>771</v>
      </c>
      <c r="E29" s="20"/>
      <c r="F29" s="20"/>
      <c r="G29" s="20"/>
      <c r="H29" s="20"/>
      <c r="I29" s="20"/>
      <c r="J29" s="20"/>
      <c r="K29" s="20"/>
      <c r="L29" s="20"/>
      <c r="M29" s="20"/>
      <c r="N29" s="20"/>
      <c r="O29" s="20" t="s">
        <v>913</v>
      </c>
      <c r="P29" s="20"/>
      <c r="Q29" s="2"/>
      <c r="R29" s="2"/>
      <c r="S29" s="2"/>
      <c r="T29" s="2"/>
      <c r="U29" s="2"/>
      <c r="V29" s="2"/>
      <c r="W29" s="2"/>
      <c r="X29" s="2"/>
      <c r="Y29" s="2"/>
      <c r="Z29" s="2"/>
    </row>
    <row r="30" customFormat="false" ht="42" hidden="false" customHeight="true" outlineLevel="0" collapsed="false">
      <c r="A30" s="12" t="s">
        <v>355</v>
      </c>
      <c r="B30" s="12" t="s">
        <v>356</v>
      </c>
      <c r="C30" s="20" t="s">
        <v>961</v>
      </c>
      <c r="D30" s="20" t="s">
        <v>962</v>
      </c>
      <c r="E30" s="20"/>
      <c r="F30" s="20"/>
      <c r="G30" s="20"/>
      <c r="H30" s="20"/>
      <c r="I30" s="20"/>
      <c r="J30" s="20"/>
      <c r="K30" s="20"/>
      <c r="L30" s="20"/>
      <c r="M30" s="20"/>
      <c r="N30" s="20"/>
      <c r="O30" s="20" t="s">
        <v>913</v>
      </c>
      <c r="P30" s="20"/>
      <c r="Q30" s="2"/>
      <c r="R30" s="2"/>
      <c r="S30" s="2"/>
      <c r="T30" s="2"/>
      <c r="U30" s="2"/>
      <c r="V30" s="2"/>
      <c r="W30" s="2"/>
      <c r="X30" s="2"/>
      <c r="Y30" s="2"/>
      <c r="Z30" s="2"/>
    </row>
    <row r="31" customFormat="false" ht="42" hidden="false" customHeight="true" outlineLevel="0" collapsed="false">
      <c r="A31" s="12" t="s">
        <v>362</v>
      </c>
      <c r="B31" s="12" t="s">
        <v>363</v>
      </c>
      <c r="C31" s="20" t="s">
        <v>771</v>
      </c>
      <c r="D31" s="20" t="s">
        <v>954</v>
      </c>
      <c r="E31" s="20" t="s">
        <v>962</v>
      </c>
      <c r="F31" s="20"/>
      <c r="G31" s="20"/>
      <c r="H31" s="20"/>
      <c r="I31" s="20"/>
      <c r="J31" s="20"/>
      <c r="K31" s="20"/>
      <c r="L31" s="20"/>
      <c r="M31" s="20"/>
      <c r="N31" s="20"/>
      <c r="O31" s="20" t="s">
        <v>913</v>
      </c>
      <c r="P31" s="20"/>
      <c r="Q31" s="2"/>
      <c r="R31" s="2"/>
      <c r="S31" s="2"/>
      <c r="T31" s="2"/>
      <c r="U31" s="2"/>
      <c r="V31" s="2"/>
      <c r="W31" s="2"/>
      <c r="X31" s="2"/>
      <c r="Y31" s="2"/>
      <c r="Z31" s="2"/>
    </row>
    <row r="32" customFormat="false" ht="42" hidden="false" customHeight="true" outlineLevel="0" collapsed="false">
      <c r="A32" s="12" t="s">
        <v>369</v>
      </c>
      <c r="B32" s="12" t="s">
        <v>370</v>
      </c>
      <c r="C32" s="20" t="s">
        <v>771</v>
      </c>
      <c r="D32" s="20" t="s">
        <v>955</v>
      </c>
      <c r="E32" s="20" t="s">
        <v>954</v>
      </c>
      <c r="F32" s="20" t="s">
        <v>962</v>
      </c>
      <c r="G32" s="20"/>
      <c r="H32" s="20"/>
      <c r="I32" s="20"/>
      <c r="J32" s="20"/>
      <c r="K32" s="20"/>
      <c r="L32" s="20"/>
      <c r="M32" s="20"/>
      <c r="N32" s="20"/>
      <c r="O32" s="20" t="s">
        <v>913</v>
      </c>
      <c r="P32" s="20"/>
      <c r="Q32" s="2"/>
      <c r="R32" s="2"/>
      <c r="S32" s="2"/>
      <c r="T32" s="2"/>
      <c r="U32" s="2"/>
      <c r="V32" s="2"/>
      <c r="W32" s="2"/>
      <c r="X32" s="2"/>
      <c r="Y32" s="2"/>
      <c r="Z32" s="2"/>
    </row>
    <row r="33" customFormat="false" ht="42" hidden="false" customHeight="true" outlineLevel="0" collapsed="false">
      <c r="A33" s="12" t="s">
        <v>378</v>
      </c>
      <c r="B33" s="12" t="s">
        <v>379</v>
      </c>
      <c r="C33" s="20" t="s">
        <v>771</v>
      </c>
      <c r="D33" s="20" t="s">
        <v>932</v>
      </c>
      <c r="E33" s="20"/>
      <c r="F33" s="20"/>
      <c r="G33" s="20"/>
      <c r="H33" s="20"/>
      <c r="I33" s="20"/>
      <c r="J33" s="20"/>
      <c r="K33" s="20"/>
      <c r="L33" s="20"/>
      <c r="M33" s="20"/>
      <c r="N33" s="20"/>
      <c r="O33" s="20" t="s">
        <v>913</v>
      </c>
      <c r="P33" s="20"/>
      <c r="Q33" s="2"/>
      <c r="R33" s="2"/>
      <c r="S33" s="2"/>
      <c r="T33" s="2"/>
      <c r="U33" s="2"/>
      <c r="V33" s="2"/>
      <c r="W33" s="2"/>
      <c r="X33" s="2"/>
      <c r="Y33" s="2"/>
      <c r="Z33" s="2"/>
    </row>
    <row r="34" customFormat="false" ht="42" hidden="false" customHeight="true" outlineLevel="0" collapsed="false">
      <c r="A34" s="12" t="s">
        <v>387</v>
      </c>
      <c r="B34" s="12" t="s">
        <v>388</v>
      </c>
      <c r="C34" s="20" t="s">
        <v>961</v>
      </c>
      <c r="D34" s="20" t="s">
        <v>954</v>
      </c>
      <c r="E34" s="20" t="s">
        <v>963</v>
      </c>
      <c r="F34" s="20"/>
      <c r="G34" s="20"/>
      <c r="H34" s="20"/>
      <c r="I34" s="20"/>
      <c r="J34" s="20"/>
      <c r="K34" s="20"/>
      <c r="L34" s="20"/>
      <c r="M34" s="20"/>
      <c r="N34" s="20"/>
      <c r="O34" s="20" t="s">
        <v>913</v>
      </c>
      <c r="P34" s="20"/>
      <c r="Q34" s="2"/>
      <c r="R34" s="2"/>
      <c r="S34" s="2"/>
      <c r="T34" s="2"/>
      <c r="U34" s="2"/>
      <c r="V34" s="2"/>
      <c r="W34" s="2"/>
      <c r="X34" s="2"/>
      <c r="Y34" s="2"/>
      <c r="Z34" s="2"/>
    </row>
    <row r="35" customFormat="false" ht="42" hidden="false" customHeight="true" outlineLevel="0" collapsed="false">
      <c r="A35" s="12" t="s">
        <v>396</v>
      </c>
      <c r="B35" s="12" t="s">
        <v>397</v>
      </c>
      <c r="C35" s="20" t="s">
        <v>771</v>
      </c>
      <c r="D35" s="20" t="s">
        <v>954</v>
      </c>
      <c r="E35" s="20" t="s">
        <v>963</v>
      </c>
      <c r="F35" s="20" t="s">
        <v>964</v>
      </c>
      <c r="G35" s="20"/>
      <c r="H35" s="20"/>
      <c r="I35" s="20"/>
      <c r="J35" s="20"/>
      <c r="K35" s="20"/>
      <c r="L35" s="20"/>
      <c r="M35" s="20"/>
      <c r="N35" s="20"/>
      <c r="O35" s="20" t="s">
        <v>913</v>
      </c>
      <c r="P35" s="20"/>
      <c r="Q35" s="2"/>
      <c r="R35" s="2"/>
      <c r="S35" s="2"/>
      <c r="T35" s="2"/>
      <c r="U35" s="2"/>
      <c r="V35" s="2"/>
      <c r="W35" s="2"/>
      <c r="X35" s="2"/>
      <c r="Y35" s="2"/>
      <c r="Z35" s="2"/>
    </row>
    <row r="36" customFormat="false" ht="42" hidden="false" customHeight="true" outlineLevel="0" collapsed="false">
      <c r="A36" s="12" t="s">
        <v>407</v>
      </c>
      <c r="B36" s="12" t="s">
        <v>408</v>
      </c>
      <c r="C36" s="20" t="s">
        <v>965</v>
      </c>
      <c r="D36" s="20" t="s">
        <v>966</v>
      </c>
      <c r="E36" s="20"/>
      <c r="F36" s="20"/>
      <c r="G36" s="20"/>
      <c r="H36" s="20"/>
      <c r="I36" s="20"/>
      <c r="J36" s="20"/>
      <c r="K36" s="20"/>
      <c r="L36" s="20"/>
      <c r="M36" s="20"/>
      <c r="N36" s="20"/>
      <c r="O36" s="20" t="s">
        <v>913</v>
      </c>
      <c r="P36" s="20" t="s">
        <v>709</v>
      </c>
      <c r="Q36" s="2"/>
      <c r="R36" s="2"/>
      <c r="S36" s="2"/>
      <c r="T36" s="2"/>
      <c r="U36" s="2"/>
      <c r="V36" s="2"/>
      <c r="W36" s="2"/>
      <c r="X36" s="2"/>
      <c r="Y36" s="2"/>
      <c r="Z36" s="2"/>
    </row>
    <row r="37" customFormat="false" ht="42" hidden="false" customHeight="true" outlineLevel="0" collapsed="false">
      <c r="A37" s="12" t="s">
        <v>418</v>
      </c>
      <c r="B37" s="12" t="s">
        <v>419</v>
      </c>
      <c r="C37" s="20" t="s">
        <v>967</v>
      </c>
      <c r="D37" s="20" t="s">
        <v>451</v>
      </c>
      <c r="E37" s="20"/>
      <c r="F37" s="20"/>
      <c r="G37" s="20"/>
      <c r="H37" s="20"/>
      <c r="I37" s="20"/>
      <c r="J37" s="20"/>
      <c r="K37" s="20"/>
      <c r="L37" s="20"/>
      <c r="M37" s="20"/>
      <c r="N37" s="20"/>
      <c r="O37" s="20" t="s">
        <v>913</v>
      </c>
      <c r="P37" s="20"/>
      <c r="Q37" s="2"/>
      <c r="R37" s="2"/>
      <c r="S37" s="2"/>
      <c r="T37" s="2"/>
      <c r="U37" s="2"/>
      <c r="V37" s="2"/>
      <c r="W37" s="2"/>
      <c r="X37" s="2"/>
      <c r="Y37" s="2"/>
      <c r="Z37" s="2"/>
    </row>
    <row r="38" customFormat="false" ht="42" hidden="false" customHeight="true" outlineLevel="0" collapsed="false">
      <c r="A38" s="12" t="s">
        <v>429</v>
      </c>
      <c r="B38" s="12" t="s">
        <v>430</v>
      </c>
      <c r="C38" s="20" t="s">
        <v>932</v>
      </c>
      <c r="D38" s="20" t="s">
        <v>968</v>
      </c>
      <c r="E38" s="20" t="s">
        <v>948</v>
      </c>
      <c r="F38" s="20" t="s">
        <v>941</v>
      </c>
      <c r="G38" s="20" t="s">
        <v>942</v>
      </c>
      <c r="H38" s="20"/>
      <c r="I38" s="20"/>
      <c r="J38" s="20"/>
      <c r="K38" s="20"/>
      <c r="L38" s="20"/>
      <c r="M38" s="20"/>
      <c r="N38" s="20"/>
      <c r="O38" s="20" t="s">
        <v>913</v>
      </c>
      <c r="P38" s="20"/>
      <c r="Q38" s="2"/>
      <c r="R38" s="2"/>
      <c r="S38" s="2"/>
      <c r="T38" s="2"/>
      <c r="U38" s="2"/>
      <c r="V38" s="2"/>
      <c r="W38" s="2"/>
      <c r="X38" s="2"/>
      <c r="Y38" s="2"/>
      <c r="Z38" s="2"/>
    </row>
    <row r="39" customFormat="false" ht="42" hidden="false" customHeight="true" outlineLevel="0" collapsed="false">
      <c r="A39" s="12" t="s">
        <v>439</v>
      </c>
      <c r="B39" s="12" t="s">
        <v>440</v>
      </c>
      <c r="C39" s="20" t="s">
        <v>932</v>
      </c>
      <c r="D39" s="20" t="s">
        <v>969</v>
      </c>
      <c r="E39" s="20" t="s">
        <v>952</v>
      </c>
      <c r="F39" s="20" t="s">
        <v>941</v>
      </c>
      <c r="G39" s="20"/>
      <c r="H39" s="20"/>
      <c r="I39" s="20"/>
      <c r="J39" s="20"/>
      <c r="K39" s="20"/>
      <c r="L39" s="20"/>
      <c r="M39" s="20"/>
      <c r="N39" s="20"/>
      <c r="O39" s="20" t="s">
        <v>913</v>
      </c>
      <c r="P39" s="20"/>
      <c r="Q39" s="2"/>
      <c r="R39" s="2"/>
      <c r="S39" s="2"/>
      <c r="T39" s="2"/>
      <c r="U39" s="2"/>
      <c r="V39" s="2"/>
      <c r="W39" s="2"/>
      <c r="X39" s="2"/>
      <c r="Y39" s="2"/>
      <c r="Z39" s="2"/>
    </row>
    <row r="40" customFormat="false" ht="42" hidden="false" customHeight="true" outlineLevel="0" collapsed="false">
      <c r="A40" s="12" t="s">
        <v>450</v>
      </c>
      <c r="B40" s="12" t="s">
        <v>451</v>
      </c>
      <c r="C40" s="20" t="s">
        <v>946</v>
      </c>
      <c r="D40" s="20"/>
      <c r="E40" s="20"/>
      <c r="F40" s="20"/>
      <c r="G40" s="20"/>
      <c r="H40" s="20"/>
      <c r="I40" s="20"/>
      <c r="J40" s="20"/>
      <c r="K40" s="20"/>
      <c r="L40" s="20"/>
      <c r="M40" s="20"/>
      <c r="N40" s="20"/>
      <c r="O40" s="20" t="s">
        <v>913</v>
      </c>
      <c r="P40" s="20"/>
      <c r="Q40" s="2"/>
      <c r="R40" s="2"/>
      <c r="S40" s="2"/>
      <c r="T40" s="2"/>
      <c r="U40" s="2"/>
      <c r="V40" s="2"/>
      <c r="W40" s="2"/>
      <c r="X40" s="2"/>
      <c r="Y40" s="2"/>
      <c r="Z40" s="2"/>
    </row>
    <row r="41" customFormat="false" ht="42" hidden="false" customHeight="true" outlineLevel="0" collapsed="false">
      <c r="A41" s="12" t="s">
        <v>461</v>
      </c>
      <c r="B41" s="12" t="s">
        <v>462</v>
      </c>
      <c r="C41" s="20" t="s">
        <v>970</v>
      </c>
      <c r="D41" s="20" t="s">
        <v>971</v>
      </c>
      <c r="E41" s="20" t="s">
        <v>972</v>
      </c>
      <c r="F41" s="20" t="s">
        <v>946</v>
      </c>
      <c r="G41" s="20"/>
      <c r="H41" s="20"/>
      <c r="I41" s="20"/>
      <c r="J41" s="20"/>
      <c r="K41" s="20"/>
      <c r="L41" s="20"/>
      <c r="M41" s="20"/>
      <c r="N41" s="20"/>
      <c r="O41" s="20" t="s">
        <v>913</v>
      </c>
      <c r="P41" s="20"/>
      <c r="Q41" s="2"/>
      <c r="R41" s="2"/>
      <c r="S41" s="2"/>
      <c r="T41" s="2"/>
      <c r="U41" s="2"/>
      <c r="V41" s="2"/>
      <c r="W41" s="2"/>
      <c r="X41" s="2"/>
      <c r="Y41" s="2"/>
      <c r="Z41" s="2"/>
    </row>
    <row r="42" customFormat="false" ht="42" hidden="false" customHeight="true" outlineLevel="0" collapsed="false">
      <c r="A42" s="12" t="s">
        <v>471</v>
      </c>
      <c r="B42" s="12" t="s">
        <v>472</v>
      </c>
      <c r="C42" s="20" t="s">
        <v>973</v>
      </c>
      <c r="D42" s="20"/>
      <c r="E42" s="20"/>
      <c r="F42" s="20"/>
      <c r="G42" s="20"/>
      <c r="H42" s="20"/>
      <c r="I42" s="20"/>
      <c r="J42" s="20"/>
      <c r="K42" s="20"/>
      <c r="L42" s="20"/>
      <c r="M42" s="20"/>
      <c r="N42" s="20"/>
      <c r="O42" s="20" t="s">
        <v>913</v>
      </c>
      <c r="P42" s="20"/>
      <c r="Q42" s="2"/>
      <c r="R42" s="2"/>
      <c r="S42" s="2"/>
      <c r="T42" s="2"/>
      <c r="U42" s="2"/>
      <c r="V42" s="2"/>
      <c r="W42" s="2"/>
      <c r="X42" s="2"/>
      <c r="Y42" s="2"/>
      <c r="Z42" s="2"/>
    </row>
    <row r="43" customFormat="false" ht="42" hidden="false" customHeight="true" outlineLevel="0" collapsed="false">
      <c r="A43" s="12" t="s">
        <v>482</v>
      </c>
      <c r="B43" s="12" t="s">
        <v>483</v>
      </c>
      <c r="C43" s="20" t="s">
        <v>483</v>
      </c>
      <c r="D43" s="20"/>
      <c r="E43" s="20"/>
      <c r="F43" s="20"/>
      <c r="G43" s="20"/>
      <c r="H43" s="20"/>
      <c r="I43" s="20"/>
      <c r="J43" s="20"/>
      <c r="K43" s="20"/>
      <c r="L43" s="20"/>
      <c r="M43" s="20"/>
      <c r="N43" s="20"/>
      <c r="O43" s="20" t="s">
        <v>913</v>
      </c>
      <c r="P43" s="20"/>
      <c r="Q43" s="2"/>
      <c r="R43" s="2"/>
      <c r="S43" s="2"/>
      <c r="T43" s="2"/>
      <c r="U43" s="2"/>
      <c r="V43" s="2"/>
      <c r="W43" s="2"/>
      <c r="X43" s="2"/>
      <c r="Y43" s="2"/>
      <c r="Z43" s="2"/>
    </row>
    <row r="44" customFormat="false" ht="42" hidden="false" customHeight="true" outlineLevel="0" collapsed="false">
      <c r="A44" s="12" t="s">
        <v>493</v>
      </c>
      <c r="B44" s="12" t="s">
        <v>494</v>
      </c>
      <c r="C44" s="20" t="s">
        <v>974</v>
      </c>
      <c r="D44" s="20" t="s">
        <v>843</v>
      </c>
      <c r="E44" s="20"/>
      <c r="F44" s="20"/>
      <c r="G44" s="20"/>
      <c r="H44" s="20"/>
      <c r="I44" s="20"/>
      <c r="J44" s="20"/>
      <c r="K44" s="20"/>
      <c r="L44" s="20"/>
      <c r="M44" s="20"/>
      <c r="N44" s="20"/>
      <c r="O44" s="20" t="s">
        <v>913</v>
      </c>
      <c r="P44" s="20" t="s">
        <v>713</v>
      </c>
      <c r="Q44" s="2"/>
      <c r="R44" s="2"/>
      <c r="S44" s="2"/>
      <c r="T44" s="2"/>
      <c r="U44" s="2"/>
      <c r="V44" s="2"/>
      <c r="W44" s="2"/>
      <c r="X44" s="2"/>
      <c r="Y44" s="2"/>
      <c r="Z44" s="2"/>
    </row>
    <row r="45" customFormat="false" ht="42" hidden="false" customHeight="true" outlineLevel="0" collapsed="false">
      <c r="A45" s="12" t="s">
        <v>504</v>
      </c>
      <c r="B45" s="12" t="s">
        <v>505</v>
      </c>
      <c r="C45" s="20" t="s">
        <v>975</v>
      </c>
      <c r="D45" s="20" t="s">
        <v>976</v>
      </c>
      <c r="E45" s="20" t="s">
        <v>977</v>
      </c>
      <c r="F45" s="20" t="s">
        <v>843</v>
      </c>
      <c r="G45" s="20"/>
      <c r="H45" s="20"/>
      <c r="I45" s="20"/>
      <c r="J45" s="20"/>
      <c r="K45" s="20"/>
      <c r="L45" s="20"/>
      <c r="M45" s="20"/>
      <c r="N45" s="20"/>
      <c r="O45" s="20" t="s">
        <v>913</v>
      </c>
      <c r="P45" s="20" t="s">
        <v>713</v>
      </c>
      <c r="Q45" s="2"/>
      <c r="R45" s="2"/>
      <c r="S45" s="2"/>
      <c r="T45" s="2"/>
      <c r="U45" s="2"/>
      <c r="V45" s="2"/>
      <c r="W45" s="2"/>
      <c r="X45" s="2"/>
      <c r="Y45" s="2"/>
      <c r="Z45" s="2"/>
    </row>
    <row r="46" customFormat="false" ht="42" hidden="false" customHeight="true" outlineLevel="0" collapsed="false">
      <c r="A46" s="12" t="s">
        <v>515</v>
      </c>
      <c r="B46" s="12" t="s">
        <v>516</v>
      </c>
      <c r="C46" s="20" t="s">
        <v>975</v>
      </c>
      <c r="D46" s="20" t="s">
        <v>964</v>
      </c>
      <c r="E46" s="20" t="s">
        <v>920</v>
      </c>
      <c r="F46" s="20" t="s">
        <v>843</v>
      </c>
      <c r="G46" s="20"/>
      <c r="H46" s="20"/>
      <c r="I46" s="20"/>
      <c r="J46" s="20"/>
      <c r="K46" s="20"/>
      <c r="L46" s="20"/>
      <c r="M46" s="20"/>
      <c r="N46" s="20"/>
      <c r="O46" s="20" t="s">
        <v>913</v>
      </c>
      <c r="P46" s="20" t="s">
        <v>713</v>
      </c>
      <c r="Q46" s="2"/>
      <c r="R46" s="2"/>
      <c r="S46" s="2"/>
      <c r="T46" s="2"/>
      <c r="U46" s="2"/>
      <c r="V46" s="2"/>
      <c r="W46" s="2"/>
      <c r="X46" s="2"/>
      <c r="Y46" s="2"/>
      <c r="Z46" s="2"/>
    </row>
    <row r="47" customFormat="false" ht="42" hidden="false" customHeight="true" outlineLevel="0" collapsed="false">
      <c r="A47" s="12" t="s">
        <v>526</v>
      </c>
      <c r="B47" s="12" t="s">
        <v>527</v>
      </c>
      <c r="C47" s="20" t="s">
        <v>978</v>
      </c>
      <c r="D47" s="20" t="s">
        <v>964</v>
      </c>
      <c r="E47" s="20" t="s">
        <v>843</v>
      </c>
      <c r="F47" s="20"/>
      <c r="G47" s="20"/>
      <c r="H47" s="20"/>
      <c r="I47" s="20"/>
      <c r="J47" s="20"/>
      <c r="K47" s="20"/>
      <c r="L47" s="20"/>
      <c r="M47" s="20"/>
      <c r="N47" s="20"/>
      <c r="O47" s="20" t="s">
        <v>913</v>
      </c>
      <c r="P47" s="20" t="s">
        <v>713</v>
      </c>
      <c r="Q47" s="2"/>
      <c r="R47" s="2"/>
      <c r="S47" s="2"/>
      <c r="T47" s="2"/>
      <c r="U47" s="2"/>
      <c r="V47" s="2"/>
      <c r="W47" s="2"/>
      <c r="X47" s="2"/>
      <c r="Y47" s="2"/>
      <c r="Z47" s="2"/>
    </row>
    <row r="48" customFormat="false" ht="42" hidden="false" customHeight="true" outlineLevel="0" collapsed="false">
      <c r="A48" s="12" t="s">
        <v>537</v>
      </c>
      <c r="B48" s="12" t="s">
        <v>538</v>
      </c>
      <c r="C48" s="20" t="s">
        <v>979</v>
      </c>
      <c r="D48" s="20" t="s">
        <v>980</v>
      </c>
      <c r="E48" s="20" t="s">
        <v>941</v>
      </c>
      <c r="F48" s="20" t="s">
        <v>981</v>
      </c>
      <c r="G48" s="20" t="s">
        <v>982</v>
      </c>
      <c r="H48" s="20"/>
      <c r="I48" s="20"/>
      <c r="J48" s="20"/>
      <c r="K48" s="20"/>
      <c r="L48" s="20"/>
      <c r="M48" s="20"/>
      <c r="N48" s="20"/>
      <c r="O48" s="20" t="s">
        <v>913</v>
      </c>
      <c r="P48" s="20"/>
      <c r="Q48" s="2"/>
      <c r="R48" s="2"/>
      <c r="S48" s="2"/>
      <c r="T48" s="2"/>
      <c r="U48" s="2"/>
      <c r="V48" s="2"/>
      <c r="W48" s="2"/>
      <c r="X48" s="2"/>
      <c r="Y48" s="2"/>
      <c r="Z48" s="2"/>
    </row>
    <row r="49" customFormat="false" ht="42" hidden="false" customHeight="true" outlineLevel="0" collapsed="false">
      <c r="A49" s="12" t="s">
        <v>548</v>
      </c>
      <c r="B49" s="12" t="s">
        <v>549</v>
      </c>
      <c r="C49" s="20" t="s">
        <v>983</v>
      </c>
      <c r="D49" s="20" t="s">
        <v>964</v>
      </c>
      <c r="E49" s="20" t="s">
        <v>984</v>
      </c>
      <c r="F49" s="20" t="s">
        <v>967</v>
      </c>
      <c r="G49" s="20"/>
      <c r="H49" s="20"/>
      <c r="I49" s="20"/>
      <c r="J49" s="20"/>
      <c r="K49" s="20"/>
      <c r="L49" s="20"/>
      <c r="M49" s="20"/>
      <c r="N49" s="20"/>
      <c r="O49" s="20" t="s">
        <v>913</v>
      </c>
      <c r="P49" s="20"/>
      <c r="Q49" s="2"/>
      <c r="R49" s="2"/>
      <c r="S49" s="2"/>
      <c r="T49" s="2"/>
      <c r="U49" s="2"/>
      <c r="V49" s="2"/>
      <c r="W49" s="2"/>
      <c r="X49" s="2"/>
      <c r="Y49" s="2"/>
      <c r="Z49" s="2"/>
    </row>
    <row r="50" customFormat="false" ht="42" hidden="false" customHeight="true" outlineLevel="0" collapsed="false">
      <c r="A50" s="12" t="s">
        <v>559</v>
      </c>
      <c r="B50" s="12" t="s">
        <v>560</v>
      </c>
      <c r="C50" s="20" t="s">
        <v>985</v>
      </c>
      <c r="D50" s="20" t="s">
        <v>911</v>
      </c>
      <c r="E50" s="20" t="s">
        <v>927</v>
      </c>
      <c r="F50" s="20" t="s">
        <v>967</v>
      </c>
      <c r="G50" s="20"/>
      <c r="H50" s="20"/>
      <c r="I50" s="20"/>
      <c r="J50" s="20"/>
      <c r="K50" s="20"/>
      <c r="L50" s="20"/>
      <c r="M50" s="20"/>
      <c r="N50" s="20"/>
      <c r="O50" s="20" t="s">
        <v>913</v>
      </c>
      <c r="P50" s="20"/>
      <c r="Q50" s="2"/>
      <c r="R50" s="2"/>
      <c r="S50" s="2"/>
      <c r="T50" s="2"/>
      <c r="U50" s="2"/>
      <c r="V50" s="2"/>
      <c r="W50" s="2"/>
      <c r="X50" s="2"/>
      <c r="Y50" s="2"/>
      <c r="Z50" s="2"/>
    </row>
    <row r="51" customFormat="false" ht="42" hidden="false" customHeight="true" outlineLevel="0" collapsed="false">
      <c r="A51" s="12" t="s">
        <v>570</v>
      </c>
      <c r="B51" s="12" t="s">
        <v>571</v>
      </c>
      <c r="C51" s="20" t="s">
        <v>986</v>
      </c>
      <c r="D51" s="20" t="s">
        <v>987</v>
      </c>
      <c r="E51" s="20" t="s">
        <v>988</v>
      </c>
      <c r="F51" s="20"/>
      <c r="G51" s="20"/>
      <c r="H51" s="20"/>
      <c r="I51" s="20"/>
      <c r="J51" s="20"/>
      <c r="K51" s="20"/>
      <c r="L51" s="20"/>
      <c r="M51" s="20"/>
      <c r="N51" s="20"/>
      <c r="O51" s="20" t="s">
        <v>913</v>
      </c>
      <c r="P51" s="20"/>
      <c r="Q51" s="2"/>
      <c r="R51" s="2"/>
      <c r="S51" s="2"/>
      <c r="T51" s="2"/>
      <c r="U51" s="2"/>
      <c r="V51" s="2"/>
      <c r="W51" s="2"/>
      <c r="X51" s="2"/>
      <c r="Y51" s="2"/>
      <c r="Z51" s="2"/>
    </row>
    <row r="52" customFormat="false" ht="42" hidden="false" customHeight="true" outlineLevel="0" collapsed="false">
      <c r="A52" s="12" t="s">
        <v>581</v>
      </c>
      <c r="B52" s="12" t="s">
        <v>582</v>
      </c>
      <c r="C52" s="20" t="s">
        <v>989</v>
      </c>
      <c r="D52" s="20" t="s">
        <v>990</v>
      </c>
      <c r="E52" s="20" t="s">
        <v>991</v>
      </c>
      <c r="F52" s="20" t="s">
        <v>992</v>
      </c>
      <c r="G52" s="20"/>
      <c r="H52" s="20"/>
      <c r="I52" s="20"/>
      <c r="J52" s="20"/>
      <c r="K52" s="20"/>
      <c r="L52" s="20"/>
      <c r="M52" s="20"/>
      <c r="N52" s="20"/>
      <c r="O52" s="20" t="s">
        <v>913</v>
      </c>
      <c r="P52" s="20"/>
      <c r="Q52" s="2"/>
      <c r="R52" s="2"/>
      <c r="S52" s="2"/>
      <c r="T52" s="2"/>
      <c r="U52" s="2"/>
      <c r="V52" s="2"/>
      <c r="W52" s="2"/>
      <c r="X52" s="2"/>
      <c r="Y52" s="2"/>
      <c r="Z52" s="2"/>
    </row>
    <row r="53" customFormat="false" ht="42" hidden="false" customHeight="true" outlineLevel="0" collapsed="false">
      <c r="A53" s="12" t="s">
        <v>590</v>
      </c>
      <c r="B53" s="12" t="s">
        <v>591</v>
      </c>
      <c r="C53" s="20" t="s">
        <v>993</v>
      </c>
      <c r="D53" s="20" t="s">
        <v>964</v>
      </c>
      <c r="E53" s="20" t="s">
        <v>991</v>
      </c>
      <c r="F53" s="20" t="s">
        <v>988</v>
      </c>
      <c r="G53" s="20" t="s">
        <v>994</v>
      </c>
      <c r="H53" s="20"/>
      <c r="I53" s="20"/>
      <c r="J53" s="20"/>
      <c r="K53" s="20"/>
      <c r="L53" s="20"/>
      <c r="M53" s="20"/>
      <c r="N53" s="20"/>
      <c r="O53" s="20" t="s">
        <v>913</v>
      </c>
      <c r="P53" s="20"/>
      <c r="Q53" s="2"/>
      <c r="R53" s="2"/>
      <c r="S53" s="2"/>
      <c r="T53" s="2"/>
      <c r="U53" s="2"/>
      <c r="V53" s="2"/>
      <c r="W53" s="2"/>
      <c r="X53" s="2"/>
      <c r="Y53" s="2"/>
      <c r="Z53" s="2"/>
    </row>
    <row r="54" customFormat="false" ht="42" hidden="false" customHeight="true" outlineLevel="0" collapsed="false">
      <c r="A54" s="12" t="s">
        <v>601</v>
      </c>
      <c r="B54" s="12" t="s">
        <v>602</v>
      </c>
      <c r="C54" s="20" t="s">
        <v>995</v>
      </c>
      <c r="D54" s="20" t="s">
        <v>964</v>
      </c>
      <c r="E54" s="20" t="s">
        <v>980</v>
      </c>
      <c r="F54" s="20" t="s">
        <v>996</v>
      </c>
      <c r="G54" s="20" t="s">
        <v>997</v>
      </c>
      <c r="H54" s="20" t="s">
        <v>998</v>
      </c>
      <c r="I54" s="20"/>
      <c r="J54" s="20"/>
      <c r="K54" s="20"/>
      <c r="L54" s="20"/>
      <c r="M54" s="20"/>
      <c r="N54" s="20"/>
      <c r="O54" s="20" t="s">
        <v>913</v>
      </c>
      <c r="P54" s="20"/>
      <c r="Q54" s="2"/>
      <c r="R54" s="2"/>
      <c r="S54" s="2"/>
      <c r="T54" s="2"/>
      <c r="U54" s="2"/>
      <c r="V54" s="2"/>
      <c r="W54" s="2"/>
      <c r="X54" s="2"/>
      <c r="Y54" s="2"/>
      <c r="Z54" s="2"/>
    </row>
    <row r="55" customFormat="false" ht="42" hidden="false" customHeight="true" outlineLevel="0" collapsed="false">
      <c r="A55" s="12" t="s">
        <v>612</v>
      </c>
      <c r="B55" s="12" t="s">
        <v>613</v>
      </c>
      <c r="C55" s="20" t="s">
        <v>613</v>
      </c>
      <c r="D55" s="20" t="s">
        <v>999</v>
      </c>
      <c r="E55" s="20" t="s">
        <v>1000</v>
      </c>
      <c r="F55" s="20" t="s">
        <v>909</v>
      </c>
      <c r="G55" s="20" t="s">
        <v>923</v>
      </c>
      <c r="H55" s="20" t="s">
        <v>1001</v>
      </c>
      <c r="I55" s="20"/>
      <c r="J55" s="20"/>
      <c r="K55" s="20"/>
      <c r="L55" s="20"/>
      <c r="M55" s="20"/>
      <c r="N55" s="20"/>
      <c r="O55" s="20" t="s">
        <v>913</v>
      </c>
      <c r="P55" s="20"/>
      <c r="Q55" s="2"/>
      <c r="R55" s="2"/>
      <c r="S55" s="2"/>
      <c r="T55" s="2"/>
      <c r="U55" s="2"/>
      <c r="V55" s="2"/>
      <c r="W55" s="2"/>
      <c r="X55" s="2"/>
      <c r="Y55" s="2"/>
      <c r="Z55" s="2"/>
    </row>
    <row r="56" customFormat="false" ht="42" hidden="false" customHeight="true" outlineLevel="0" collapsed="false">
      <c r="A56" s="12" t="s">
        <v>623</v>
      </c>
      <c r="B56" s="12" t="s">
        <v>624</v>
      </c>
      <c r="C56" s="20" t="s">
        <v>1002</v>
      </c>
      <c r="D56" s="20" t="s">
        <v>1003</v>
      </c>
      <c r="E56" s="20" t="s">
        <v>923</v>
      </c>
      <c r="F56" s="20"/>
      <c r="G56" s="20"/>
      <c r="H56" s="20"/>
      <c r="I56" s="20"/>
      <c r="J56" s="20"/>
      <c r="K56" s="20"/>
      <c r="L56" s="20"/>
      <c r="M56" s="20"/>
      <c r="N56" s="20"/>
      <c r="O56" s="20" t="s">
        <v>913</v>
      </c>
      <c r="P56" s="20"/>
      <c r="Q56" s="2"/>
      <c r="R56" s="2"/>
      <c r="S56" s="2"/>
      <c r="T56" s="2"/>
      <c r="U56" s="2"/>
      <c r="V56" s="2"/>
      <c r="W56" s="2"/>
      <c r="X56" s="2"/>
      <c r="Y56" s="2"/>
      <c r="Z56" s="2"/>
    </row>
    <row r="57" customFormat="false" ht="42" hidden="false" customHeight="true" outlineLevel="0" collapsed="false">
      <c r="A57" s="12" t="s">
        <v>634</v>
      </c>
      <c r="B57" s="12" t="s">
        <v>635</v>
      </c>
      <c r="C57" s="20" t="s">
        <v>1002</v>
      </c>
      <c r="D57" s="20" t="s">
        <v>1004</v>
      </c>
      <c r="E57" s="20" t="s">
        <v>1005</v>
      </c>
      <c r="F57" s="20" t="s">
        <v>981</v>
      </c>
      <c r="G57" s="20" t="s">
        <v>919</v>
      </c>
      <c r="H57" s="20"/>
      <c r="I57" s="20"/>
      <c r="J57" s="20"/>
      <c r="K57" s="20"/>
      <c r="L57" s="20"/>
      <c r="M57" s="20"/>
      <c r="N57" s="20"/>
      <c r="O57" s="20" t="s">
        <v>913</v>
      </c>
      <c r="P57" s="20"/>
      <c r="Q57" s="2"/>
      <c r="R57" s="2"/>
      <c r="S57" s="2"/>
      <c r="T57" s="2"/>
      <c r="U57" s="2"/>
      <c r="V57" s="2"/>
      <c r="W57" s="2"/>
      <c r="X57" s="2"/>
      <c r="Y57" s="2"/>
      <c r="Z57" s="2"/>
    </row>
    <row r="58" customFormat="false" ht="42" hidden="false" customHeight="true" outlineLevel="0" collapsed="false">
      <c r="A58" s="12" t="s">
        <v>645</v>
      </c>
      <c r="B58" s="12" t="s">
        <v>646</v>
      </c>
      <c r="C58" s="20" t="s">
        <v>1002</v>
      </c>
      <c r="D58" s="20" t="s">
        <v>911</v>
      </c>
      <c r="E58" s="20" t="s">
        <v>1006</v>
      </c>
      <c r="F58" s="20" t="s">
        <v>909</v>
      </c>
      <c r="G58" s="20" t="s">
        <v>1001</v>
      </c>
      <c r="H58" s="20" t="s">
        <v>1007</v>
      </c>
      <c r="I58" s="20"/>
      <c r="J58" s="20"/>
      <c r="K58" s="20"/>
      <c r="L58" s="20"/>
      <c r="M58" s="20"/>
      <c r="N58" s="20"/>
      <c r="O58" s="20" t="s">
        <v>913</v>
      </c>
      <c r="P58" s="20"/>
      <c r="Q58" s="2"/>
      <c r="R58" s="2"/>
      <c r="S58" s="2"/>
      <c r="T58" s="2"/>
      <c r="U58" s="2"/>
      <c r="V58" s="2"/>
      <c r="W58" s="2"/>
      <c r="X58" s="2"/>
      <c r="Y58" s="2"/>
      <c r="Z58" s="2"/>
    </row>
    <row r="59" customFormat="false" ht="42" hidden="false" customHeight="true" outlineLevel="0" collapsed="false">
      <c r="A59" s="12" t="s">
        <v>656</v>
      </c>
      <c r="B59" s="12" t="s">
        <v>657</v>
      </c>
      <c r="C59" s="20" t="s">
        <v>1008</v>
      </c>
      <c r="D59" s="20" t="s">
        <v>1009</v>
      </c>
      <c r="E59" s="20" t="s">
        <v>923</v>
      </c>
      <c r="F59" s="20" t="s">
        <v>1010</v>
      </c>
      <c r="G59" s="20" t="s">
        <v>1011</v>
      </c>
      <c r="H59" s="20"/>
      <c r="I59" s="20"/>
      <c r="J59" s="20"/>
      <c r="K59" s="20"/>
      <c r="L59" s="20"/>
      <c r="M59" s="20"/>
      <c r="N59" s="20"/>
      <c r="O59" s="20" t="s">
        <v>913</v>
      </c>
      <c r="P59" s="20"/>
      <c r="Q59" s="2"/>
      <c r="R59" s="2"/>
      <c r="S59" s="2"/>
      <c r="T59" s="2"/>
      <c r="U59" s="2"/>
      <c r="V59" s="2"/>
      <c r="W59" s="2"/>
      <c r="X59" s="2"/>
      <c r="Y59" s="2"/>
      <c r="Z59" s="2"/>
    </row>
    <row r="60" customFormat="false" ht="14.25" hidden="false" customHeight="fals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4.25" hidden="false" customHeight="fals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4.25" hidden="false" customHeight="fals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4.25" hidden="false" customHeight="fals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4.25" hidden="false" customHeight="fals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4.25" hidden="false" customHeight="fals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4.25" hidden="false" customHeight="fals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4.25" hidden="false" customHeight="fals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4.25" hidden="false" customHeight="fals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4.25" hidden="false" customHeight="fals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4.25" hidden="false" customHeight="fals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4.25" hidden="false" customHeight="fals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4.25" hidden="false" customHeight="fals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4.25" hidden="false" customHeight="fals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4.25" hidden="false" customHeight="fals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4.25" hidden="false" customHeight="fals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4.25" hidden="false" customHeight="fals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4.25" hidden="false" customHeight="fals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4.25" hidden="false" customHeight="fals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4.25" hidden="false" customHeight="fals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4.25" hidden="false" customHeight="fals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4.25" hidden="false" customHeight="fals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4.25" hidden="false" customHeight="fals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4.25" hidden="false" customHeight="fals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4.25" hidden="false" customHeight="fals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4.25" hidden="false" customHeight="fals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4.25" hidden="false" customHeight="fals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4.25" hidden="false" customHeight="fals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4.25" hidden="false" customHeight="fals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4.25" hidden="false" customHeight="fals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4.25" hidden="false" customHeight="fals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4.25" hidden="false" customHeight="fals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4.25" hidden="false" customHeight="fals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4.25" hidden="false" customHeight="fals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4.25" hidden="false" customHeight="fals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4.25" hidden="false" customHeight="fals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4.25" hidden="false" customHeight="fals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4.25" hidden="false" customHeight="fals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4.25" hidden="false" customHeight="fals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4.25" hidden="false" customHeight="fals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4.25" hidden="false" customHeight="fals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4.25" hidden="false" customHeight="fals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4.25" hidden="false" customHeight="fals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4.25" hidden="false" customHeight="fals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4.25" hidden="false" customHeight="fals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4.25" hidden="false" customHeight="fals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4.25" hidden="false" customHeight="fals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4.25" hidden="false" customHeight="fals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4.25" hidden="false" customHeight="fals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4.25" hidden="false" customHeight="fals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4.25" hidden="false" customHeight="fals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4.25" hidden="false" customHeight="fals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4.25" hidden="false" customHeight="fals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4.25" hidden="false" customHeight="fals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4.25" hidden="false" customHeight="fals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4.25" hidden="false" customHeight="fals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4.25" hidden="false" customHeight="fals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4.25" hidden="false" customHeight="fals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4.25" hidden="false" customHeight="fals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4.25" hidden="false" customHeight="fals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4.25" hidden="false" customHeight="fals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4.25" hidden="false" customHeight="fals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4.25" hidden="false" customHeight="fals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4.25" hidden="false" customHeight="fals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4.25" hidden="false" customHeight="fals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4.25" hidden="false" customHeight="fals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4.25" hidden="false" customHeight="fals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4.25" hidden="false" customHeight="fals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4.25" hidden="false" customHeight="fals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4.25" hidden="false" customHeight="fals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4.25" hidden="false" customHeight="fals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4.25" hidden="false" customHeight="fals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4.25" hidden="false" customHeight="fals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4.25" hidden="false" customHeight="fals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4.25" hidden="false" customHeight="fals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4.25" hidden="false" customHeight="fals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4.25" hidden="false" customHeight="fals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4.25" hidden="false" customHeight="fals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4.25" hidden="false" customHeight="fals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4.25" hidden="false" customHeight="fals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4.25" hidden="false" customHeight="fals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4.25" hidden="false" customHeight="fals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4.25" hidden="false" customHeight="fals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4.25" hidden="false" customHeight="fals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4.25" hidden="false" customHeight="fals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4.25" hidden="false" customHeight="fals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4.25" hidden="false" customHeight="fals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4.25" hidden="false" customHeight="fals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4.25" hidden="false" customHeight="fals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4.25" hidden="false" customHeight="fals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4.25" hidden="false" customHeight="fals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4.25" hidden="false" customHeight="fals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4.25" hidden="false" customHeight="fals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4.25" hidden="false" customHeight="fals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4.25" hidden="false" customHeight="fals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4.25" hidden="false" customHeight="fals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4.25" hidden="false" customHeight="fals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4.25" hidden="false" customHeight="fals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4.25" hidden="false" customHeight="fals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4.25" hidden="false" customHeight="fals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4.25" hidden="false" customHeight="fals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4.25" hidden="false" customHeight="fals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4.25" hidden="false" customHeight="fals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4.25" hidden="false" customHeight="fals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4.25" hidden="false" customHeight="fals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4.25" hidden="false" customHeight="fals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4.25" hidden="false" customHeight="fals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4.25" hidden="false" customHeight="fals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4.25" hidden="false" customHeight="fals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4.25" hidden="false" customHeight="fals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4.25" hidden="false" customHeight="fals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4.25" hidden="false" customHeight="fals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4.25" hidden="false" customHeight="fals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4.25" hidden="false" customHeight="fals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4.25" hidden="false" customHeight="fals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4.25" hidden="false" customHeight="fals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4.25" hidden="false" customHeight="fals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4.25" hidden="false" customHeight="fals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4.25" hidden="false" customHeight="fals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4.25" hidden="false" customHeight="fals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4.25" hidden="false" customHeight="fals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4.25" hidden="false" customHeight="fals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4.25" hidden="false" customHeight="fals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4.25" hidden="false" customHeight="fals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4.25" hidden="false" customHeight="fals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4.25" hidden="false" customHeight="fals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4.25" hidden="false" customHeight="fals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4.25" hidden="false" customHeight="fals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4.25" hidden="false" customHeight="fals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4.25" hidden="false" customHeight="fals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4.25" hidden="false" customHeight="fals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4.25" hidden="false" customHeight="fals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4.25" hidden="false" customHeight="fals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4.25" hidden="false" customHeight="fals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4.25" hidden="false" customHeight="fals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4.25" hidden="false" customHeight="fals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4.25" hidden="false" customHeight="fals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4.25" hidden="false" customHeight="fals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4.25" hidden="false" customHeight="fals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4.25" hidden="false" customHeight="fals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4.25" hidden="false" customHeight="fals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sheetData>
  <autoFilter ref="A4:P59"/>
  <mergeCells count="2">
    <mergeCell ref="A1:P1"/>
    <mergeCell ref="A2:P2"/>
  </mergeCells>
  <conditionalFormatting sqref="O5:O59">
    <cfRule type="expression" priority="2" aboveAverage="0" equalAverage="0" bottom="0" percent="0" rank="0" text="" dxfId="17">
      <formula>O5="Pendiente de validación"</formula>
    </cfRule>
  </conditionalFormatting>
  <dataValidations count="1">
    <dataValidation allowBlank="false" errorStyle="stop" operator="between" showDropDown="false" showErrorMessage="false" showInputMessage="false" sqref="O5:O59" type="list">
      <formula1>"Pendiente de validación,Validado por cocina,Validado por proveedor"</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B966E"/>
    <pageSetUpPr fitToPage="false"/>
  </sheetPr>
  <dimension ref="A1:Z200"/>
  <sheetViews>
    <sheetView showFormulas="false" showGridLines="true" showRowColHeaders="true" showZeros="true" rightToLeft="false" tabSelected="false" showOutlineSymbols="true" defaultGridColor="true" view="normal" topLeftCell="A35" colorId="64" zoomScale="100" zoomScaleNormal="100" zoomScalePageLayoutView="100" workbookViewId="0">
      <pane xSplit="2" ySplit="4" topLeftCell="C5" activePane="bottomRight" state="frozen"/>
      <selection pane="topLeft" activeCell="A35" activeCellId="0" sqref="A35"/>
      <selection pane="topRight" activeCell="C35" activeCellId="0" sqref="C35"/>
      <selection pane="bottomLeft" activeCell="A5" activeCellId="0" sqref="A5"/>
      <selection pane="bottomRight" activeCell="E40" activeCellId="0" sqref="E40"/>
    </sheetView>
  </sheetViews>
  <sheetFormatPr defaultColWidth="9.00390625" defaultRowHeight="14.2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17" min="3" style="0" width="15"/>
    <col collapsed="false" customWidth="true" hidden="false" outlineLevel="0" max="18" min="18" style="0" width="20"/>
    <col collapsed="false" customWidth="true" hidden="false" outlineLevel="0" max="19" min="19" style="0" width="54"/>
  </cols>
  <sheetData>
    <row r="1" customFormat="false" ht="30" hidden="false" customHeight="true" outlineLevel="0" collapsed="false">
      <c r="A1" s="1" t="s">
        <v>1012</v>
      </c>
      <c r="B1" s="1"/>
      <c r="C1" s="1"/>
      <c r="D1" s="1"/>
      <c r="E1" s="1"/>
      <c r="F1" s="1"/>
      <c r="G1" s="1"/>
      <c r="H1" s="1"/>
      <c r="I1" s="1"/>
      <c r="J1" s="1"/>
      <c r="K1" s="1"/>
      <c r="L1" s="1"/>
      <c r="M1" s="1"/>
      <c r="N1" s="1"/>
      <c r="O1" s="1"/>
      <c r="P1" s="1"/>
      <c r="Q1" s="1"/>
      <c r="R1" s="1"/>
      <c r="S1" s="1"/>
      <c r="T1" s="2"/>
      <c r="U1" s="2"/>
      <c r="V1" s="2"/>
      <c r="W1" s="2"/>
      <c r="X1" s="2"/>
      <c r="Y1" s="2"/>
      <c r="Z1" s="2"/>
    </row>
    <row r="2" customFormat="false" ht="30" hidden="false" customHeight="true" outlineLevel="0" collapsed="false">
      <c r="A2" s="3" t="s">
        <v>1013</v>
      </c>
      <c r="B2" s="3"/>
      <c r="C2" s="3"/>
      <c r="D2" s="3"/>
      <c r="E2" s="3"/>
      <c r="F2" s="3"/>
      <c r="G2" s="3"/>
      <c r="H2" s="3"/>
      <c r="I2" s="3"/>
      <c r="J2" s="3"/>
      <c r="K2" s="3"/>
      <c r="L2" s="3"/>
      <c r="M2" s="3"/>
      <c r="N2" s="3"/>
      <c r="O2" s="3"/>
      <c r="P2" s="3"/>
      <c r="Q2" s="3"/>
      <c r="R2" s="3"/>
      <c r="S2" s="3"/>
      <c r="T2" s="2"/>
      <c r="U2" s="2"/>
      <c r="V2" s="2"/>
      <c r="W2" s="2"/>
      <c r="X2" s="2"/>
      <c r="Y2" s="2"/>
      <c r="Z2" s="2"/>
    </row>
    <row r="3" customFormat="false" ht="14.25" hidden="false" customHeight="false" outlineLevel="0" collapsed="false">
      <c r="A3" s="2"/>
      <c r="B3" s="2"/>
      <c r="C3" s="2"/>
      <c r="D3" s="2"/>
      <c r="E3" s="2"/>
      <c r="F3" s="2"/>
      <c r="G3" s="2"/>
      <c r="H3" s="2"/>
      <c r="I3" s="2"/>
      <c r="J3" s="2"/>
      <c r="K3" s="2"/>
      <c r="L3" s="2"/>
      <c r="M3" s="2"/>
      <c r="N3" s="2"/>
      <c r="O3" s="2"/>
      <c r="P3" s="2"/>
      <c r="Q3" s="2"/>
      <c r="R3" s="2"/>
      <c r="S3" s="2"/>
      <c r="T3" s="2"/>
      <c r="U3" s="2"/>
      <c r="V3" s="2"/>
      <c r="W3" s="2"/>
      <c r="X3" s="2"/>
      <c r="Y3" s="2"/>
      <c r="Z3" s="2"/>
    </row>
    <row r="4" customFormat="false" ht="36" hidden="false" customHeight="true" outlineLevel="0" collapsed="false">
      <c r="A4" s="11" t="s">
        <v>79</v>
      </c>
      <c r="B4" s="11" t="s">
        <v>821</v>
      </c>
      <c r="C4" s="11" t="s">
        <v>1014</v>
      </c>
      <c r="D4" s="11" t="s">
        <v>1015</v>
      </c>
      <c r="E4" s="11" t="s">
        <v>54</v>
      </c>
      <c r="F4" s="11" t="s">
        <v>1016</v>
      </c>
      <c r="G4" s="11" t="s">
        <v>1017</v>
      </c>
      <c r="H4" s="11" t="s">
        <v>1018</v>
      </c>
      <c r="I4" s="11" t="s">
        <v>1019</v>
      </c>
      <c r="J4" s="11" t="s">
        <v>1020</v>
      </c>
      <c r="K4" s="11" t="s">
        <v>1021</v>
      </c>
      <c r="L4" s="11" t="s">
        <v>1022</v>
      </c>
      <c r="M4" s="11" t="s">
        <v>1023</v>
      </c>
      <c r="N4" s="11" t="s">
        <v>1024</v>
      </c>
      <c r="O4" s="11" t="s">
        <v>1025</v>
      </c>
      <c r="P4" s="11" t="s">
        <v>1026</v>
      </c>
      <c r="Q4" s="11" t="s">
        <v>1027</v>
      </c>
      <c r="R4" s="11" t="s">
        <v>1028</v>
      </c>
      <c r="S4" s="11" t="s">
        <v>1029</v>
      </c>
      <c r="T4" s="2"/>
      <c r="U4" s="2"/>
      <c r="V4" s="2"/>
      <c r="W4" s="2"/>
      <c r="X4" s="2"/>
      <c r="Y4" s="2"/>
      <c r="Z4" s="2"/>
    </row>
    <row r="5" customFormat="false" ht="42" hidden="false" customHeight="true" outlineLevel="0" collapsed="false">
      <c r="A5" s="12" t="s">
        <v>91</v>
      </c>
      <c r="B5" s="12" t="s">
        <v>92</v>
      </c>
      <c r="C5" s="20" t="s">
        <v>849</v>
      </c>
      <c r="D5" s="20" t="s">
        <v>849</v>
      </c>
      <c r="E5" s="20" t="s">
        <v>849</v>
      </c>
      <c r="F5" s="20" t="s">
        <v>849</v>
      </c>
      <c r="G5" s="20" t="s">
        <v>849</v>
      </c>
      <c r="H5" s="20" t="s">
        <v>849</v>
      </c>
      <c r="I5" s="20" t="s">
        <v>849</v>
      </c>
      <c r="J5" s="20" t="s">
        <v>849</v>
      </c>
      <c r="K5" s="20" t="s">
        <v>849</v>
      </c>
      <c r="L5" s="20" t="s">
        <v>849</v>
      </c>
      <c r="M5" s="20" t="s">
        <v>849</v>
      </c>
      <c r="N5" s="20" t="s">
        <v>849</v>
      </c>
      <c r="O5" s="20" t="s">
        <v>849</v>
      </c>
      <c r="P5" s="20" t="s">
        <v>849</v>
      </c>
      <c r="Q5" s="20" t="s">
        <v>849</v>
      </c>
      <c r="R5" s="20" t="s">
        <v>1030</v>
      </c>
      <c r="S5" s="20"/>
      <c r="T5" s="2"/>
      <c r="U5" s="2"/>
      <c r="V5" s="2"/>
      <c r="W5" s="2"/>
      <c r="X5" s="2"/>
      <c r="Y5" s="2"/>
      <c r="Z5" s="2"/>
    </row>
    <row r="6" customFormat="false" ht="42" hidden="false" customHeight="true" outlineLevel="0" collapsed="false">
      <c r="A6" s="12" t="s">
        <v>102</v>
      </c>
      <c r="B6" s="12" t="s">
        <v>103</v>
      </c>
      <c r="C6" s="20" t="s">
        <v>849</v>
      </c>
      <c r="D6" s="20" t="s">
        <v>849</v>
      </c>
      <c r="E6" s="20" t="s">
        <v>849</v>
      </c>
      <c r="F6" s="20" t="s">
        <v>849</v>
      </c>
      <c r="G6" s="20" t="s">
        <v>849</v>
      </c>
      <c r="H6" s="20" t="s">
        <v>849</v>
      </c>
      <c r="I6" s="20" t="s">
        <v>849</v>
      </c>
      <c r="J6" s="20" t="s">
        <v>849</v>
      </c>
      <c r="K6" s="20" t="s">
        <v>849</v>
      </c>
      <c r="L6" s="20" t="s">
        <v>849</v>
      </c>
      <c r="M6" s="20" t="s">
        <v>849</v>
      </c>
      <c r="N6" s="20" t="s">
        <v>849</v>
      </c>
      <c r="O6" s="20" t="s">
        <v>849</v>
      </c>
      <c r="P6" s="20" t="s">
        <v>849</v>
      </c>
      <c r="Q6" s="20" t="s">
        <v>849</v>
      </c>
      <c r="R6" s="20" t="s">
        <v>1030</v>
      </c>
      <c r="S6" s="20"/>
      <c r="T6" s="2"/>
      <c r="U6" s="2"/>
      <c r="V6" s="2"/>
      <c r="W6" s="2"/>
      <c r="X6" s="2"/>
      <c r="Y6" s="2"/>
      <c r="Z6" s="2"/>
    </row>
    <row r="7" customFormat="false" ht="42" hidden="false" customHeight="true" outlineLevel="0" collapsed="false">
      <c r="A7" s="12" t="s">
        <v>113</v>
      </c>
      <c r="B7" s="12" t="s">
        <v>114</v>
      </c>
      <c r="C7" s="20" t="s">
        <v>849</v>
      </c>
      <c r="D7" s="20" t="s">
        <v>849</v>
      </c>
      <c r="E7" s="20" t="s">
        <v>849</v>
      </c>
      <c r="F7" s="20" t="s">
        <v>849</v>
      </c>
      <c r="G7" s="20" t="s">
        <v>849</v>
      </c>
      <c r="H7" s="20" t="s">
        <v>849</v>
      </c>
      <c r="I7" s="20" t="s">
        <v>849</v>
      </c>
      <c r="J7" s="20" t="s">
        <v>849</v>
      </c>
      <c r="K7" s="20" t="s">
        <v>849</v>
      </c>
      <c r="L7" s="20" t="s">
        <v>849</v>
      </c>
      <c r="M7" s="20" t="s">
        <v>849</v>
      </c>
      <c r="N7" s="20" t="s">
        <v>849</v>
      </c>
      <c r="O7" s="20" t="s">
        <v>849</v>
      </c>
      <c r="P7" s="20" t="s">
        <v>849</v>
      </c>
      <c r="Q7" s="20" t="s">
        <v>849</v>
      </c>
      <c r="R7" s="20" t="s">
        <v>1030</v>
      </c>
      <c r="S7" s="20"/>
      <c r="T7" s="2"/>
      <c r="U7" s="2"/>
      <c r="V7" s="2"/>
      <c r="W7" s="2"/>
      <c r="X7" s="2"/>
      <c r="Y7" s="2"/>
      <c r="Z7" s="2"/>
    </row>
    <row r="8" customFormat="false" ht="42" hidden="false" customHeight="true" outlineLevel="0" collapsed="false">
      <c r="A8" s="12" t="s">
        <v>124</v>
      </c>
      <c r="B8" s="12" t="s">
        <v>125</v>
      </c>
      <c r="C8" s="20" t="s">
        <v>849</v>
      </c>
      <c r="D8" s="20" t="s">
        <v>849</v>
      </c>
      <c r="E8" s="20" t="s">
        <v>849</v>
      </c>
      <c r="F8" s="20" t="s">
        <v>849</v>
      </c>
      <c r="G8" s="20" t="s">
        <v>849</v>
      </c>
      <c r="H8" s="20" t="s">
        <v>849</v>
      </c>
      <c r="I8" s="20" t="s">
        <v>849</v>
      </c>
      <c r="J8" s="20" t="s">
        <v>849</v>
      </c>
      <c r="K8" s="20" t="s">
        <v>849</v>
      </c>
      <c r="L8" s="20" t="s">
        <v>849</v>
      </c>
      <c r="M8" s="20" t="s">
        <v>849</v>
      </c>
      <c r="N8" s="20" t="s">
        <v>849</v>
      </c>
      <c r="O8" s="20" t="s">
        <v>849</v>
      </c>
      <c r="P8" s="20" t="s">
        <v>849</v>
      </c>
      <c r="Q8" s="20" t="s">
        <v>849</v>
      </c>
      <c r="R8" s="20" t="s">
        <v>1030</v>
      </c>
      <c r="S8" s="20"/>
      <c r="T8" s="2"/>
      <c r="U8" s="2"/>
      <c r="V8" s="2"/>
      <c r="W8" s="2"/>
      <c r="X8" s="2"/>
      <c r="Y8" s="2"/>
      <c r="Z8" s="2"/>
    </row>
    <row r="9" customFormat="false" ht="42" hidden="false" customHeight="true" outlineLevel="0" collapsed="false">
      <c r="A9" s="12" t="s">
        <v>135</v>
      </c>
      <c r="B9" s="12" t="s">
        <v>136</v>
      </c>
      <c r="C9" s="20" t="s">
        <v>849</v>
      </c>
      <c r="D9" s="20" t="s">
        <v>849</v>
      </c>
      <c r="E9" s="20" t="s">
        <v>849</v>
      </c>
      <c r="F9" s="20" t="s">
        <v>849</v>
      </c>
      <c r="G9" s="20" t="s">
        <v>849</v>
      </c>
      <c r="H9" s="20" t="s">
        <v>849</v>
      </c>
      <c r="I9" s="20" t="s">
        <v>849</v>
      </c>
      <c r="J9" s="20" t="s">
        <v>849</v>
      </c>
      <c r="K9" s="20" t="s">
        <v>849</v>
      </c>
      <c r="L9" s="20" t="s">
        <v>849</v>
      </c>
      <c r="M9" s="20" t="s">
        <v>849</v>
      </c>
      <c r="N9" s="20" t="s">
        <v>849</v>
      </c>
      <c r="O9" s="20" t="s">
        <v>849</v>
      </c>
      <c r="P9" s="20" t="s">
        <v>849</v>
      </c>
      <c r="Q9" s="20" t="s">
        <v>849</v>
      </c>
      <c r="R9" s="20" t="s">
        <v>1030</v>
      </c>
      <c r="S9" s="20" t="s">
        <v>692</v>
      </c>
      <c r="T9" s="2"/>
      <c r="U9" s="2"/>
      <c r="V9" s="2"/>
      <c r="W9" s="2"/>
      <c r="X9" s="2"/>
      <c r="Y9" s="2"/>
      <c r="Z9" s="2"/>
    </row>
    <row r="10" customFormat="false" ht="42" hidden="false" customHeight="true" outlineLevel="0" collapsed="false">
      <c r="A10" s="12" t="s">
        <v>146</v>
      </c>
      <c r="B10" s="12" t="s">
        <v>147</v>
      </c>
      <c r="C10" s="20" t="s">
        <v>849</v>
      </c>
      <c r="D10" s="20" t="s">
        <v>849</v>
      </c>
      <c r="E10" s="20" t="s">
        <v>849</v>
      </c>
      <c r="F10" s="20" t="s">
        <v>849</v>
      </c>
      <c r="G10" s="20" t="s">
        <v>849</v>
      </c>
      <c r="H10" s="20" t="s">
        <v>849</v>
      </c>
      <c r="I10" s="20" t="s">
        <v>849</v>
      </c>
      <c r="J10" s="20" t="s">
        <v>849</v>
      </c>
      <c r="K10" s="20" t="s">
        <v>849</v>
      </c>
      <c r="L10" s="20" t="s">
        <v>849</v>
      </c>
      <c r="M10" s="20" t="s">
        <v>849</v>
      </c>
      <c r="N10" s="20" t="s">
        <v>849</v>
      </c>
      <c r="O10" s="20" t="s">
        <v>849</v>
      </c>
      <c r="P10" s="20" t="s">
        <v>849</v>
      </c>
      <c r="Q10" s="20" t="s">
        <v>849</v>
      </c>
      <c r="R10" s="20" t="s">
        <v>1030</v>
      </c>
      <c r="S10" s="20"/>
      <c r="T10" s="2"/>
      <c r="U10" s="2"/>
      <c r="V10" s="2"/>
      <c r="W10" s="2"/>
      <c r="X10" s="2"/>
      <c r="Y10" s="2"/>
      <c r="Z10" s="2"/>
    </row>
    <row r="11" customFormat="false" ht="42" hidden="false" customHeight="true" outlineLevel="0" collapsed="false">
      <c r="A11" s="12" t="s">
        <v>157</v>
      </c>
      <c r="B11" s="12" t="s">
        <v>158</v>
      </c>
      <c r="C11" s="20" t="s">
        <v>849</v>
      </c>
      <c r="D11" s="20" t="s">
        <v>849</v>
      </c>
      <c r="E11" s="20" t="s">
        <v>849</v>
      </c>
      <c r="F11" s="20" t="s">
        <v>849</v>
      </c>
      <c r="G11" s="20" t="s">
        <v>849</v>
      </c>
      <c r="H11" s="20" t="s">
        <v>849</v>
      </c>
      <c r="I11" s="20" t="s">
        <v>849</v>
      </c>
      <c r="J11" s="20" t="s">
        <v>849</v>
      </c>
      <c r="K11" s="20" t="s">
        <v>849</v>
      </c>
      <c r="L11" s="20" t="s">
        <v>849</v>
      </c>
      <c r="M11" s="20" t="s">
        <v>849</v>
      </c>
      <c r="N11" s="20" t="s">
        <v>849</v>
      </c>
      <c r="O11" s="20" t="s">
        <v>849</v>
      </c>
      <c r="P11" s="20" t="s">
        <v>849</v>
      </c>
      <c r="Q11" s="20" t="s">
        <v>849</v>
      </c>
      <c r="R11" s="20" t="s">
        <v>1030</v>
      </c>
      <c r="S11" s="20"/>
      <c r="T11" s="2"/>
      <c r="U11" s="2"/>
      <c r="V11" s="2"/>
      <c r="W11" s="2"/>
      <c r="X11" s="2"/>
      <c r="Y11" s="2"/>
      <c r="Z11" s="2"/>
    </row>
    <row r="12" customFormat="false" ht="42" hidden="false" customHeight="true" outlineLevel="0" collapsed="false">
      <c r="A12" s="12" t="s">
        <v>168</v>
      </c>
      <c r="B12" s="12" t="s">
        <v>169</v>
      </c>
      <c r="C12" s="20" t="s">
        <v>849</v>
      </c>
      <c r="D12" s="20" t="s">
        <v>849</v>
      </c>
      <c r="E12" s="20" t="s">
        <v>849</v>
      </c>
      <c r="F12" s="20" t="s">
        <v>849</v>
      </c>
      <c r="G12" s="20" t="s">
        <v>849</v>
      </c>
      <c r="H12" s="20" t="s">
        <v>849</v>
      </c>
      <c r="I12" s="20" t="s">
        <v>849</v>
      </c>
      <c r="J12" s="20" t="s">
        <v>849</v>
      </c>
      <c r="K12" s="20" t="s">
        <v>849</v>
      </c>
      <c r="L12" s="20" t="s">
        <v>849</v>
      </c>
      <c r="M12" s="20" t="s">
        <v>849</v>
      </c>
      <c r="N12" s="20" t="s">
        <v>849</v>
      </c>
      <c r="O12" s="20" t="s">
        <v>849</v>
      </c>
      <c r="P12" s="20" t="s">
        <v>849</v>
      </c>
      <c r="Q12" s="20" t="s">
        <v>849</v>
      </c>
      <c r="R12" s="20" t="s">
        <v>1030</v>
      </c>
      <c r="S12" s="20"/>
      <c r="T12" s="2"/>
      <c r="U12" s="2"/>
      <c r="V12" s="2"/>
      <c r="W12" s="2"/>
      <c r="X12" s="2"/>
      <c r="Y12" s="2"/>
      <c r="Z12" s="2"/>
    </row>
    <row r="13" customFormat="false" ht="42" hidden="false" customHeight="true" outlineLevel="0" collapsed="false">
      <c r="A13" s="12" t="s">
        <v>179</v>
      </c>
      <c r="B13" s="12" t="s">
        <v>180</v>
      </c>
      <c r="C13" s="20" t="s">
        <v>849</v>
      </c>
      <c r="D13" s="20" t="s">
        <v>849</v>
      </c>
      <c r="E13" s="20" t="s">
        <v>849</v>
      </c>
      <c r="F13" s="20" t="s">
        <v>849</v>
      </c>
      <c r="G13" s="20" t="s">
        <v>849</v>
      </c>
      <c r="H13" s="20" t="s">
        <v>849</v>
      </c>
      <c r="I13" s="20" t="s">
        <v>849</v>
      </c>
      <c r="J13" s="20" t="s">
        <v>849</v>
      </c>
      <c r="K13" s="20" t="s">
        <v>849</v>
      </c>
      <c r="L13" s="20" t="s">
        <v>849</v>
      </c>
      <c r="M13" s="20" t="s">
        <v>849</v>
      </c>
      <c r="N13" s="20" t="s">
        <v>849</v>
      </c>
      <c r="O13" s="20" t="s">
        <v>849</v>
      </c>
      <c r="P13" s="20" t="s">
        <v>849</v>
      </c>
      <c r="Q13" s="20" t="s">
        <v>849</v>
      </c>
      <c r="R13" s="20" t="s">
        <v>1030</v>
      </c>
      <c r="S13" s="20" t="s">
        <v>693</v>
      </c>
      <c r="T13" s="2"/>
      <c r="U13" s="2"/>
      <c r="V13" s="2"/>
      <c r="W13" s="2"/>
      <c r="X13" s="2"/>
      <c r="Y13" s="2"/>
      <c r="Z13" s="2"/>
    </row>
    <row r="14" customFormat="false" ht="42" hidden="false" customHeight="true" outlineLevel="0" collapsed="false">
      <c r="A14" s="12" t="s">
        <v>190</v>
      </c>
      <c r="B14" s="12" t="s">
        <v>191</v>
      </c>
      <c r="C14" s="20" t="s">
        <v>849</v>
      </c>
      <c r="D14" s="20" t="s">
        <v>849</v>
      </c>
      <c r="E14" s="20" t="s">
        <v>849</v>
      </c>
      <c r="F14" s="20" t="s">
        <v>849</v>
      </c>
      <c r="G14" s="20" t="s">
        <v>849</v>
      </c>
      <c r="H14" s="20" t="s">
        <v>849</v>
      </c>
      <c r="I14" s="20" t="s">
        <v>849</v>
      </c>
      <c r="J14" s="20" t="s">
        <v>849</v>
      </c>
      <c r="K14" s="20" t="s">
        <v>849</v>
      </c>
      <c r="L14" s="20" t="s">
        <v>849</v>
      </c>
      <c r="M14" s="20" t="s">
        <v>849</v>
      </c>
      <c r="N14" s="20" t="s">
        <v>849</v>
      </c>
      <c r="O14" s="20" t="s">
        <v>849</v>
      </c>
      <c r="P14" s="20" t="s">
        <v>849</v>
      </c>
      <c r="Q14" s="20" t="s">
        <v>849</v>
      </c>
      <c r="R14" s="20" t="s">
        <v>1030</v>
      </c>
      <c r="S14" s="20"/>
      <c r="T14" s="2"/>
      <c r="U14" s="2"/>
      <c r="V14" s="2"/>
      <c r="W14" s="2"/>
      <c r="X14" s="2"/>
      <c r="Y14" s="2"/>
      <c r="Z14" s="2"/>
    </row>
    <row r="15" customFormat="false" ht="42" hidden="false" customHeight="true" outlineLevel="0" collapsed="false">
      <c r="A15" s="12" t="s">
        <v>200</v>
      </c>
      <c r="B15" s="12" t="s">
        <v>201</v>
      </c>
      <c r="C15" s="20" t="s">
        <v>849</v>
      </c>
      <c r="D15" s="20" t="s">
        <v>849</v>
      </c>
      <c r="E15" s="20" t="s">
        <v>849</v>
      </c>
      <c r="F15" s="20" t="s">
        <v>849</v>
      </c>
      <c r="G15" s="20" t="s">
        <v>849</v>
      </c>
      <c r="H15" s="20" t="s">
        <v>849</v>
      </c>
      <c r="I15" s="20" t="s">
        <v>849</v>
      </c>
      <c r="J15" s="20" t="s">
        <v>849</v>
      </c>
      <c r="K15" s="20" t="s">
        <v>849</v>
      </c>
      <c r="L15" s="20" t="s">
        <v>849</v>
      </c>
      <c r="M15" s="20" t="s">
        <v>849</v>
      </c>
      <c r="N15" s="20" t="s">
        <v>849</v>
      </c>
      <c r="O15" s="20" t="s">
        <v>849</v>
      </c>
      <c r="P15" s="20" t="s">
        <v>849</v>
      </c>
      <c r="Q15" s="20" t="s">
        <v>849</v>
      </c>
      <c r="R15" s="20" t="s">
        <v>1030</v>
      </c>
      <c r="S15" s="20" t="s">
        <v>695</v>
      </c>
      <c r="T15" s="2"/>
      <c r="U15" s="2"/>
      <c r="V15" s="2"/>
      <c r="W15" s="2"/>
      <c r="X15" s="2"/>
      <c r="Y15" s="2"/>
      <c r="Z15" s="2"/>
    </row>
    <row r="16" customFormat="false" ht="42" hidden="false" customHeight="true" outlineLevel="0" collapsed="false">
      <c r="A16" s="12" t="s">
        <v>208</v>
      </c>
      <c r="B16" s="12" t="s">
        <v>209</v>
      </c>
      <c r="C16" s="20" t="s">
        <v>849</v>
      </c>
      <c r="D16" s="20" t="s">
        <v>849</v>
      </c>
      <c r="E16" s="20" t="s">
        <v>849</v>
      </c>
      <c r="F16" s="20" t="s">
        <v>849</v>
      </c>
      <c r="G16" s="20" t="s">
        <v>849</v>
      </c>
      <c r="H16" s="20" t="s">
        <v>849</v>
      </c>
      <c r="I16" s="20" t="s">
        <v>849</v>
      </c>
      <c r="J16" s="20" t="s">
        <v>849</v>
      </c>
      <c r="K16" s="20" t="s">
        <v>849</v>
      </c>
      <c r="L16" s="20" t="s">
        <v>849</v>
      </c>
      <c r="M16" s="20" t="s">
        <v>849</v>
      </c>
      <c r="N16" s="20" t="s">
        <v>849</v>
      </c>
      <c r="O16" s="20" t="s">
        <v>849</v>
      </c>
      <c r="P16" s="20" t="s">
        <v>849</v>
      </c>
      <c r="Q16" s="20" t="s">
        <v>686</v>
      </c>
      <c r="R16" s="20" t="s">
        <v>1030</v>
      </c>
      <c r="S16" s="20"/>
      <c r="T16" s="2"/>
      <c r="U16" s="2"/>
      <c r="V16" s="2"/>
      <c r="W16" s="2"/>
      <c r="X16" s="2"/>
      <c r="Y16" s="2"/>
      <c r="Z16" s="2"/>
    </row>
    <row r="17" customFormat="false" ht="42" hidden="false" customHeight="true" outlineLevel="0" collapsed="false">
      <c r="A17" s="12" t="s">
        <v>219</v>
      </c>
      <c r="B17" s="12" t="s">
        <v>220</v>
      </c>
      <c r="C17" s="20" t="s">
        <v>849</v>
      </c>
      <c r="D17" s="20" t="s">
        <v>849</v>
      </c>
      <c r="E17" s="20" t="s">
        <v>849</v>
      </c>
      <c r="F17" s="20" t="s">
        <v>849</v>
      </c>
      <c r="G17" s="20" t="s">
        <v>849</v>
      </c>
      <c r="H17" s="20" t="s">
        <v>849</v>
      </c>
      <c r="I17" s="20" t="s">
        <v>849</v>
      </c>
      <c r="J17" s="20" t="s">
        <v>849</v>
      </c>
      <c r="K17" s="20" t="s">
        <v>849</v>
      </c>
      <c r="L17" s="20" t="s">
        <v>849</v>
      </c>
      <c r="M17" s="20" t="s">
        <v>849</v>
      </c>
      <c r="N17" s="20" t="s">
        <v>849</v>
      </c>
      <c r="O17" s="20" t="s">
        <v>849</v>
      </c>
      <c r="P17" s="20" t="s">
        <v>849</v>
      </c>
      <c r="Q17" s="20" t="s">
        <v>687</v>
      </c>
      <c r="R17" s="20" t="s">
        <v>1030</v>
      </c>
      <c r="S17" s="20"/>
      <c r="T17" s="2"/>
      <c r="U17" s="2"/>
      <c r="V17" s="2"/>
      <c r="W17" s="2"/>
      <c r="X17" s="2"/>
      <c r="Y17" s="2"/>
      <c r="Z17" s="2"/>
    </row>
    <row r="18" customFormat="false" ht="42" hidden="false" customHeight="true" outlineLevel="0" collapsed="false">
      <c r="A18" s="12" t="s">
        <v>230</v>
      </c>
      <c r="B18" s="12" t="s">
        <v>231</v>
      </c>
      <c r="C18" s="20" t="s">
        <v>849</v>
      </c>
      <c r="D18" s="20" t="s">
        <v>849</v>
      </c>
      <c r="E18" s="20" t="s">
        <v>849</v>
      </c>
      <c r="F18" s="20" t="s">
        <v>849</v>
      </c>
      <c r="G18" s="20" t="s">
        <v>849</v>
      </c>
      <c r="H18" s="20" t="s">
        <v>849</v>
      </c>
      <c r="I18" s="20" t="s">
        <v>849</v>
      </c>
      <c r="J18" s="20" t="s">
        <v>849</v>
      </c>
      <c r="K18" s="20" t="s">
        <v>849</v>
      </c>
      <c r="L18" s="20" t="s">
        <v>849</v>
      </c>
      <c r="M18" s="20" t="s">
        <v>849</v>
      </c>
      <c r="N18" s="20" t="s">
        <v>849</v>
      </c>
      <c r="O18" s="20" t="s">
        <v>849</v>
      </c>
      <c r="P18" s="20" t="s">
        <v>849</v>
      </c>
      <c r="Q18" s="20" t="s">
        <v>687</v>
      </c>
      <c r="R18" s="20" t="s">
        <v>1030</v>
      </c>
      <c r="S18" s="20"/>
      <c r="T18" s="2"/>
      <c r="U18" s="2"/>
      <c r="V18" s="2"/>
      <c r="W18" s="2"/>
      <c r="X18" s="2"/>
      <c r="Y18" s="2"/>
      <c r="Z18" s="2"/>
    </row>
    <row r="19" customFormat="false" ht="42" hidden="false" customHeight="true" outlineLevel="0" collapsed="false">
      <c r="A19" s="12" t="s">
        <v>241</v>
      </c>
      <c r="B19" s="12" t="s">
        <v>242</v>
      </c>
      <c r="C19" s="20" t="s">
        <v>849</v>
      </c>
      <c r="D19" s="20" t="s">
        <v>849</v>
      </c>
      <c r="E19" s="20" t="s">
        <v>849</v>
      </c>
      <c r="F19" s="20" t="s">
        <v>849</v>
      </c>
      <c r="G19" s="20" t="s">
        <v>849</v>
      </c>
      <c r="H19" s="20" t="s">
        <v>849</v>
      </c>
      <c r="I19" s="20" t="s">
        <v>849</v>
      </c>
      <c r="J19" s="20" t="s">
        <v>849</v>
      </c>
      <c r="K19" s="20" t="s">
        <v>849</v>
      </c>
      <c r="L19" s="20" t="s">
        <v>849</v>
      </c>
      <c r="M19" s="20" t="s">
        <v>849</v>
      </c>
      <c r="N19" s="20" t="s">
        <v>849</v>
      </c>
      <c r="O19" s="20" t="s">
        <v>849</v>
      </c>
      <c r="P19" s="20" t="s">
        <v>849</v>
      </c>
      <c r="Q19" s="20" t="s">
        <v>687</v>
      </c>
      <c r="R19" s="20" t="s">
        <v>1030</v>
      </c>
      <c r="S19" s="20"/>
      <c r="T19" s="2"/>
      <c r="U19" s="2"/>
      <c r="V19" s="2"/>
      <c r="W19" s="2"/>
      <c r="X19" s="2"/>
      <c r="Y19" s="2"/>
      <c r="Z19" s="2"/>
    </row>
    <row r="20" customFormat="false" ht="42" hidden="false" customHeight="true" outlineLevel="0" collapsed="false">
      <c r="A20" s="12" t="s">
        <v>252</v>
      </c>
      <c r="B20" s="12" t="s">
        <v>253</v>
      </c>
      <c r="C20" s="20" t="s">
        <v>849</v>
      </c>
      <c r="D20" s="20" t="s">
        <v>849</v>
      </c>
      <c r="E20" s="20" t="s">
        <v>849</v>
      </c>
      <c r="F20" s="20" t="s">
        <v>849</v>
      </c>
      <c r="G20" s="20" t="s">
        <v>849</v>
      </c>
      <c r="H20" s="20" t="s">
        <v>849</v>
      </c>
      <c r="I20" s="20" t="s">
        <v>849</v>
      </c>
      <c r="J20" s="20" t="s">
        <v>849</v>
      </c>
      <c r="K20" s="20" t="s">
        <v>849</v>
      </c>
      <c r="L20" s="20" t="s">
        <v>849</v>
      </c>
      <c r="M20" s="20" t="s">
        <v>849</v>
      </c>
      <c r="N20" s="20" t="s">
        <v>849</v>
      </c>
      <c r="O20" s="20" t="s">
        <v>849</v>
      </c>
      <c r="P20" s="20" t="s">
        <v>849</v>
      </c>
      <c r="Q20" s="20" t="s">
        <v>686</v>
      </c>
      <c r="R20" s="20" t="s">
        <v>1030</v>
      </c>
      <c r="S20" s="20"/>
      <c r="T20" s="2"/>
      <c r="U20" s="2"/>
      <c r="V20" s="2"/>
      <c r="W20" s="2"/>
      <c r="X20" s="2"/>
      <c r="Y20" s="2"/>
      <c r="Z20" s="2"/>
    </row>
    <row r="21" customFormat="false" ht="42" hidden="false" customHeight="true" outlineLevel="0" collapsed="false">
      <c r="A21" s="12" t="s">
        <v>263</v>
      </c>
      <c r="B21" s="12" t="s">
        <v>264</v>
      </c>
      <c r="C21" s="20" t="s">
        <v>849</v>
      </c>
      <c r="D21" s="20" t="s">
        <v>849</v>
      </c>
      <c r="E21" s="20" t="s">
        <v>849</v>
      </c>
      <c r="F21" s="20" t="s">
        <v>849</v>
      </c>
      <c r="G21" s="20" t="s">
        <v>849</v>
      </c>
      <c r="H21" s="20" t="s">
        <v>849</v>
      </c>
      <c r="I21" s="20" t="s">
        <v>849</v>
      </c>
      <c r="J21" s="20" t="s">
        <v>849</v>
      </c>
      <c r="K21" s="20" t="s">
        <v>849</v>
      </c>
      <c r="L21" s="20" t="s">
        <v>849</v>
      </c>
      <c r="M21" s="20" t="s">
        <v>849</v>
      </c>
      <c r="N21" s="20" t="s">
        <v>849</v>
      </c>
      <c r="O21" s="20" t="s">
        <v>849</v>
      </c>
      <c r="P21" s="20" t="s">
        <v>849</v>
      </c>
      <c r="Q21" s="20" t="s">
        <v>686</v>
      </c>
      <c r="R21" s="20" t="s">
        <v>1030</v>
      </c>
      <c r="S21" s="20"/>
      <c r="T21" s="2"/>
      <c r="U21" s="2"/>
      <c r="V21" s="2"/>
      <c r="W21" s="2"/>
      <c r="X21" s="2"/>
      <c r="Y21" s="2"/>
      <c r="Z21" s="2"/>
    </row>
    <row r="22" customFormat="false" ht="42" hidden="false" customHeight="true" outlineLevel="0" collapsed="false">
      <c r="A22" s="12" t="s">
        <v>274</v>
      </c>
      <c r="B22" s="12" t="s">
        <v>275</v>
      </c>
      <c r="C22" s="20" t="s">
        <v>849</v>
      </c>
      <c r="D22" s="20" t="s">
        <v>849</v>
      </c>
      <c r="E22" s="20" t="s">
        <v>849</v>
      </c>
      <c r="F22" s="20" t="s">
        <v>849</v>
      </c>
      <c r="G22" s="20" t="s">
        <v>849</v>
      </c>
      <c r="H22" s="20" t="s">
        <v>849</v>
      </c>
      <c r="I22" s="20" t="s">
        <v>849</v>
      </c>
      <c r="J22" s="20" t="s">
        <v>849</v>
      </c>
      <c r="K22" s="20" t="s">
        <v>849</v>
      </c>
      <c r="L22" s="20" t="s">
        <v>849</v>
      </c>
      <c r="M22" s="20" t="s">
        <v>849</v>
      </c>
      <c r="N22" s="20" t="s">
        <v>849</v>
      </c>
      <c r="O22" s="20" t="s">
        <v>849</v>
      </c>
      <c r="P22" s="20" t="s">
        <v>849</v>
      </c>
      <c r="Q22" s="20" t="s">
        <v>686</v>
      </c>
      <c r="R22" s="20" t="s">
        <v>1030</v>
      </c>
      <c r="S22" s="20"/>
      <c r="T22" s="2"/>
      <c r="U22" s="2"/>
      <c r="V22" s="2"/>
      <c r="W22" s="2"/>
      <c r="X22" s="2"/>
      <c r="Y22" s="2"/>
      <c r="Z22" s="2"/>
    </row>
    <row r="23" customFormat="false" ht="42" hidden="false" customHeight="true" outlineLevel="0" collapsed="false">
      <c r="A23" s="12" t="s">
        <v>285</v>
      </c>
      <c r="B23" s="12" t="s">
        <v>286</v>
      </c>
      <c r="C23" s="20" t="s">
        <v>849</v>
      </c>
      <c r="D23" s="20" t="s">
        <v>849</v>
      </c>
      <c r="E23" s="20" t="s">
        <v>849</v>
      </c>
      <c r="F23" s="20" t="s">
        <v>849</v>
      </c>
      <c r="G23" s="20" t="s">
        <v>849</v>
      </c>
      <c r="H23" s="20" t="s">
        <v>849</v>
      </c>
      <c r="I23" s="20" t="s">
        <v>849</v>
      </c>
      <c r="J23" s="20" t="s">
        <v>849</v>
      </c>
      <c r="K23" s="20" t="s">
        <v>849</v>
      </c>
      <c r="L23" s="20" t="s">
        <v>849</v>
      </c>
      <c r="M23" s="20" t="s">
        <v>849</v>
      </c>
      <c r="N23" s="20" t="s">
        <v>849</v>
      </c>
      <c r="O23" s="20" t="s">
        <v>849</v>
      </c>
      <c r="P23" s="20" t="s">
        <v>849</v>
      </c>
      <c r="Q23" s="20" t="s">
        <v>686</v>
      </c>
      <c r="R23" s="20" t="s">
        <v>1030</v>
      </c>
      <c r="S23" s="20"/>
      <c r="T23" s="2"/>
      <c r="U23" s="2"/>
      <c r="V23" s="2"/>
      <c r="W23" s="2"/>
      <c r="X23" s="2"/>
      <c r="Y23" s="2"/>
      <c r="Z23" s="2"/>
    </row>
    <row r="24" customFormat="false" ht="42" hidden="false" customHeight="true" outlineLevel="0" collapsed="false">
      <c r="A24" s="12" t="s">
        <v>296</v>
      </c>
      <c r="B24" s="12" t="s">
        <v>297</v>
      </c>
      <c r="C24" s="20" t="s">
        <v>849</v>
      </c>
      <c r="D24" s="20" t="s">
        <v>849</v>
      </c>
      <c r="E24" s="20" t="s">
        <v>849</v>
      </c>
      <c r="F24" s="20" t="s">
        <v>849</v>
      </c>
      <c r="G24" s="20" t="s">
        <v>849</v>
      </c>
      <c r="H24" s="20" t="s">
        <v>849</v>
      </c>
      <c r="I24" s="20" t="s">
        <v>849</v>
      </c>
      <c r="J24" s="20" t="s">
        <v>849</v>
      </c>
      <c r="K24" s="20" t="s">
        <v>849</v>
      </c>
      <c r="L24" s="20" t="s">
        <v>849</v>
      </c>
      <c r="M24" s="20" t="s">
        <v>849</v>
      </c>
      <c r="N24" s="20" t="s">
        <v>849</v>
      </c>
      <c r="O24" s="20" t="s">
        <v>849</v>
      </c>
      <c r="P24" s="20" t="s">
        <v>849</v>
      </c>
      <c r="Q24" s="20" t="s">
        <v>849</v>
      </c>
      <c r="R24" s="20" t="s">
        <v>1030</v>
      </c>
      <c r="S24" s="20"/>
      <c r="T24" s="2"/>
      <c r="U24" s="2"/>
      <c r="V24" s="2"/>
      <c r="W24" s="2"/>
      <c r="X24" s="2"/>
      <c r="Y24" s="2"/>
      <c r="Z24" s="2"/>
    </row>
    <row r="25" customFormat="false" ht="42" hidden="false" customHeight="true" outlineLevel="0" collapsed="false">
      <c r="A25" s="12" t="s">
        <v>306</v>
      </c>
      <c r="B25" s="12" t="s">
        <v>307</v>
      </c>
      <c r="C25" s="20" t="s">
        <v>849</v>
      </c>
      <c r="D25" s="20" t="s">
        <v>849</v>
      </c>
      <c r="E25" s="20" t="s">
        <v>849</v>
      </c>
      <c r="F25" s="20" t="s">
        <v>849</v>
      </c>
      <c r="G25" s="20" t="s">
        <v>849</v>
      </c>
      <c r="H25" s="20" t="s">
        <v>849</v>
      </c>
      <c r="I25" s="20" t="s">
        <v>849</v>
      </c>
      <c r="J25" s="20" t="s">
        <v>849</v>
      </c>
      <c r="K25" s="20" t="s">
        <v>849</v>
      </c>
      <c r="L25" s="20" t="s">
        <v>849</v>
      </c>
      <c r="M25" s="20" t="s">
        <v>849</v>
      </c>
      <c r="N25" s="20" t="s">
        <v>849</v>
      </c>
      <c r="O25" s="20" t="s">
        <v>849</v>
      </c>
      <c r="P25" s="20" t="s">
        <v>849</v>
      </c>
      <c r="Q25" s="20" t="s">
        <v>849</v>
      </c>
      <c r="R25" s="20" t="s">
        <v>1030</v>
      </c>
      <c r="S25" s="20"/>
      <c r="T25" s="2"/>
      <c r="U25" s="2"/>
      <c r="V25" s="2"/>
      <c r="W25" s="2"/>
      <c r="X25" s="2"/>
      <c r="Y25" s="2"/>
      <c r="Z25" s="2"/>
    </row>
    <row r="26" customFormat="false" ht="42" hidden="false" customHeight="true" outlineLevel="0" collapsed="false">
      <c r="A26" s="12" t="s">
        <v>316</v>
      </c>
      <c r="B26" s="12" t="s">
        <v>317</v>
      </c>
      <c r="C26" s="20" t="s">
        <v>849</v>
      </c>
      <c r="D26" s="20" t="s">
        <v>849</v>
      </c>
      <c r="E26" s="20" t="s">
        <v>849</v>
      </c>
      <c r="F26" s="20" t="s">
        <v>849</v>
      </c>
      <c r="G26" s="20" t="s">
        <v>849</v>
      </c>
      <c r="H26" s="20" t="s">
        <v>849</v>
      </c>
      <c r="I26" s="20" t="s">
        <v>849</v>
      </c>
      <c r="J26" s="20" t="s">
        <v>849</v>
      </c>
      <c r="K26" s="20" t="s">
        <v>849</v>
      </c>
      <c r="L26" s="20" t="s">
        <v>849</v>
      </c>
      <c r="M26" s="20" t="s">
        <v>849</v>
      </c>
      <c r="N26" s="20" t="s">
        <v>849</v>
      </c>
      <c r="O26" s="20" t="s">
        <v>849</v>
      </c>
      <c r="P26" s="20" t="s">
        <v>849</v>
      </c>
      <c r="Q26" s="20" t="s">
        <v>686</v>
      </c>
      <c r="R26" s="20" t="s">
        <v>1030</v>
      </c>
      <c r="S26" s="20"/>
      <c r="T26" s="2"/>
      <c r="U26" s="2"/>
      <c r="V26" s="2"/>
      <c r="W26" s="2"/>
      <c r="X26" s="2"/>
      <c r="Y26" s="2"/>
      <c r="Z26" s="2"/>
    </row>
    <row r="27" customFormat="false" ht="42" hidden="false" customHeight="true" outlineLevel="0" collapsed="false">
      <c r="A27" s="12" t="s">
        <v>325</v>
      </c>
      <c r="B27" s="12" t="s">
        <v>326</v>
      </c>
      <c r="C27" s="20" t="s">
        <v>849</v>
      </c>
      <c r="D27" s="20" t="s">
        <v>849</v>
      </c>
      <c r="E27" s="20" t="s">
        <v>849</v>
      </c>
      <c r="F27" s="20" t="s">
        <v>849</v>
      </c>
      <c r="G27" s="20" t="s">
        <v>849</v>
      </c>
      <c r="H27" s="20" t="s">
        <v>849</v>
      </c>
      <c r="I27" s="20" t="s">
        <v>849</v>
      </c>
      <c r="J27" s="20" t="s">
        <v>849</v>
      </c>
      <c r="K27" s="20" t="s">
        <v>849</v>
      </c>
      <c r="L27" s="20" t="s">
        <v>849</v>
      </c>
      <c r="M27" s="20" t="s">
        <v>849</v>
      </c>
      <c r="N27" s="20" t="s">
        <v>849</v>
      </c>
      <c r="O27" s="20" t="s">
        <v>849</v>
      </c>
      <c r="P27" s="20" t="s">
        <v>849</v>
      </c>
      <c r="Q27" s="20" t="s">
        <v>686</v>
      </c>
      <c r="R27" s="20" t="s">
        <v>1030</v>
      </c>
      <c r="S27" s="20"/>
      <c r="T27" s="2"/>
      <c r="U27" s="2"/>
      <c r="V27" s="2"/>
      <c r="W27" s="2"/>
      <c r="X27" s="2"/>
      <c r="Y27" s="2"/>
      <c r="Z27" s="2"/>
    </row>
    <row r="28" customFormat="false" ht="42" hidden="false" customHeight="true" outlineLevel="0" collapsed="false">
      <c r="A28" s="12" t="s">
        <v>334</v>
      </c>
      <c r="B28" s="12" t="s">
        <v>335</v>
      </c>
      <c r="C28" s="20" t="s">
        <v>849</v>
      </c>
      <c r="D28" s="20" t="s">
        <v>849</v>
      </c>
      <c r="E28" s="20" t="s">
        <v>849</v>
      </c>
      <c r="F28" s="20" t="s">
        <v>849</v>
      </c>
      <c r="G28" s="20" t="s">
        <v>849</v>
      </c>
      <c r="H28" s="20" t="s">
        <v>849</v>
      </c>
      <c r="I28" s="20" t="s">
        <v>849</v>
      </c>
      <c r="J28" s="20" t="s">
        <v>849</v>
      </c>
      <c r="K28" s="20" t="s">
        <v>849</v>
      </c>
      <c r="L28" s="20" t="s">
        <v>849</v>
      </c>
      <c r="M28" s="20" t="s">
        <v>849</v>
      </c>
      <c r="N28" s="20" t="s">
        <v>849</v>
      </c>
      <c r="O28" s="20" t="s">
        <v>849</v>
      </c>
      <c r="P28" s="20" t="s">
        <v>849</v>
      </c>
      <c r="Q28" s="20" t="s">
        <v>686</v>
      </c>
      <c r="R28" s="20" t="s">
        <v>1030</v>
      </c>
      <c r="S28" s="20"/>
      <c r="T28" s="2"/>
      <c r="U28" s="2"/>
      <c r="V28" s="2"/>
      <c r="W28" s="2"/>
      <c r="X28" s="2"/>
      <c r="Y28" s="2"/>
      <c r="Z28" s="2"/>
    </row>
    <row r="29" customFormat="false" ht="42" hidden="false" customHeight="true" outlineLevel="0" collapsed="false">
      <c r="A29" s="12" t="s">
        <v>345</v>
      </c>
      <c r="B29" s="12" t="s">
        <v>346</v>
      </c>
      <c r="C29" s="20" t="s">
        <v>849</v>
      </c>
      <c r="D29" s="20" t="s">
        <v>849</v>
      </c>
      <c r="E29" s="20" t="s">
        <v>849</v>
      </c>
      <c r="F29" s="20" t="s">
        <v>849</v>
      </c>
      <c r="G29" s="20" t="s">
        <v>849</v>
      </c>
      <c r="H29" s="20" t="s">
        <v>849</v>
      </c>
      <c r="I29" s="20" t="s">
        <v>849</v>
      </c>
      <c r="J29" s="20" t="s">
        <v>849</v>
      </c>
      <c r="K29" s="20" t="s">
        <v>849</v>
      </c>
      <c r="L29" s="20" t="s">
        <v>849</v>
      </c>
      <c r="M29" s="20" t="s">
        <v>849</v>
      </c>
      <c r="N29" s="20" t="s">
        <v>849</v>
      </c>
      <c r="O29" s="20" t="s">
        <v>849</v>
      </c>
      <c r="P29" s="20" t="s">
        <v>849</v>
      </c>
      <c r="Q29" s="20" t="s">
        <v>686</v>
      </c>
      <c r="R29" s="20" t="s">
        <v>1030</v>
      </c>
      <c r="S29" s="20"/>
      <c r="T29" s="2"/>
      <c r="U29" s="2"/>
      <c r="V29" s="2"/>
      <c r="W29" s="2"/>
      <c r="X29" s="2"/>
      <c r="Y29" s="2"/>
      <c r="Z29" s="2"/>
    </row>
    <row r="30" customFormat="false" ht="42" hidden="false" customHeight="true" outlineLevel="0" collapsed="false">
      <c r="A30" s="12" t="s">
        <v>355</v>
      </c>
      <c r="B30" s="12" t="s">
        <v>356</v>
      </c>
      <c r="C30" s="20" t="s">
        <v>849</v>
      </c>
      <c r="D30" s="20" t="s">
        <v>849</v>
      </c>
      <c r="E30" s="20" t="s">
        <v>849</v>
      </c>
      <c r="F30" s="20" t="s">
        <v>849</v>
      </c>
      <c r="G30" s="20" t="s">
        <v>849</v>
      </c>
      <c r="H30" s="20" t="s">
        <v>849</v>
      </c>
      <c r="I30" s="20" t="s">
        <v>849</v>
      </c>
      <c r="J30" s="20" t="s">
        <v>849</v>
      </c>
      <c r="K30" s="20" t="s">
        <v>849</v>
      </c>
      <c r="L30" s="20" t="s">
        <v>849</v>
      </c>
      <c r="M30" s="20" t="s">
        <v>849</v>
      </c>
      <c r="N30" s="20" t="s">
        <v>849</v>
      </c>
      <c r="O30" s="20" t="s">
        <v>849</v>
      </c>
      <c r="P30" s="20" t="s">
        <v>849</v>
      </c>
      <c r="Q30" s="20" t="s">
        <v>686</v>
      </c>
      <c r="R30" s="20" t="s">
        <v>1030</v>
      </c>
      <c r="S30" s="20"/>
      <c r="T30" s="2"/>
      <c r="U30" s="2"/>
      <c r="V30" s="2"/>
      <c r="W30" s="2"/>
      <c r="X30" s="2"/>
      <c r="Y30" s="2"/>
      <c r="Z30" s="2"/>
    </row>
    <row r="31" customFormat="false" ht="42" hidden="false" customHeight="true" outlineLevel="0" collapsed="false">
      <c r="A31" s="12" t="s">
        <v>362</v>
      </c>
      <c r="B31" s="12" t="s">
        <v>363</v>
      </c>
      <c r="C31" s="20" t="s">
        <v>849</v>
      </c>
      <c r="D31" s="20" t="s">
        <v>849</v>
      </c>
      <c r="E31" s="20" t="s">
        <v>849</v>
      </c>
      <c r="F31" s="20" t="s">
        <v>849</v>
      </c>
      <c r="G31" s="20" t="s">
        <v>849</v>
      </c>
      <c r="H31" s="20" t="s">
        <v>849</v>
      </c>
      <c r="I31" s="20" t="s">
        <v>849</v>
      </c>
      <c r="J31" s="20" t="s">
        <v>849</v>
      </c>
      <c r="K31" s="20" t="s">
        <v>849</v>
      </c>
      <c r="L31" s="20" t="s">
        <v>849</v>
      </c>
      <c r="M31" s="20" t="s">
        <v>849</v>
      </c>
      <c r="N31" s="20" t="s">
        <v>849</v>
      </c>
      <c r="O31" s="20" t="s">
        <v>849</v>
      </c>
      <c r="P31" s="20" t="s">
        <v>849</v>
      </c>
      <c r="Q31" s="20" t="s">
        <v>686</v>
      </c>
      <c r="R31" s="20" t="s">
        <v>1030</v>
      </c>
      <c r="S31" s="20"/>
      <c r="T31" s="2"/>
      <c r="U31" s="2"/>
      <c r="V31" s="2"/>
      <c r="W31" s="2"/>
      <c r="X31" s="2"/>
      <c r="Y31" s="2"/>
      <c r="Z31" s="2"/>
    </row>
    <row r="32" customFormat="false" ht="42" hidden="false" customHeight="true" outlineLevel="0" collapsed="false">
      <c r="A32" s="12" t="s">
        <v>369</v>
      </c>
      <c r="B32" s="12" t="s">
        <v>370</v>
      </c>
      <c r="C32" s="20" t="s">
        <v>849</v>
      </c>
      <c r="D32" s="20" t="s">
        <v>849</v>
      </c>
      <c r="E32" s="20" t="s">
        <v>849</v>
      </c>
      <c r="F32" s="20" t="s">
        <v>849</v>
      </c>
      <c r="G32" s="20" t="s">
        <v>849</v>
      </c>
      <c r="H32" s="20" t="s">
        <v>849</v>
      </c>
      <c r="I32" s="20" t="s">
        <v>849</v>
      </c>
      <c r="J32" s="20" t="s">
        <v>849</v>
      </c>
      <c r="K32" s="20" t="s">
        <v>849</v>
      </c>
      <c r="L32" s="20" t="s">
        <v>849</v>
      </c>
      <c r="M32" s="20" t="s">
        <v>849</v>
      </c>
      <c r="N32" s="20" t="s">
        <v>849</v>
      </c>
      <c r="O32" s="20" t="s">
        <v>849</v>
      </c>
      <c r="P32" s="20" t="s">
        <v>849</v>
      </c>
      <c r="Q32" s="20" t="s">
        <v>686</v>
      </c>
      <c r="R32" s="20" t="s">
        <v>1030</v>
      </c>
      <c r="S32" s="20"/>
      <c r="T32" s="2"/>
      <c r="U32" s="2"/>
      <c r="V32" s="2"/>
      <c r="W32" s="2"/>
      <c r="X32" s="2"/>
      <c r="Y32" s="2"/>
      <c r="Z32" s="2"/>
    </row>
    <row r="33" customFormat="false" ht="42" hidden="false" customHeight="true" outlineLevel="0" collapsed="false">
      <c r="A33" s="12" t="s">
        <v>378</v>
      </c>
      <c r="B33" s="12" t="s">
        <v>379</v>
      </c>
      <c r="C33" s="20" t="s">
        <v>849</v>
      </c>
      <c r="D33" s="20" t="s">
        <v>849</v>
      </c>
      <c r="E33" s="20" t="s">
        <v>849</v>
      </c>
      <c r="F33" s="20" t="s">
        <v>849</v>
      </c>
      <c r="G33" s="20" t="s">
        <v>849</v>
      </c>
      <c r="H33" s="20" t="s">
        <v>849</v>
      </c>
      <c r="I33" s="20" t="s">
        <v>849</v>
      </c>
      <c r="J33" s="20" t="s">
        <v>849</v>
      </c>
      <c r="K33" s="20" t="s">
        <v>849</v>
      </c>
      <c r="L33" s="20" t="s">
        <v>849</v>
      </c>
      <c r="M33" s="20" t="s">
        <v>849</v>
      </c>
      <c r="N33" s="20" t="s">
        <v>849</v>
      </c>
      <c r="O33" s="20" t="s">
        <v>849</v>
      </c>
      <c r="P33" s="20" t="s">
        <v>849</v>
      </c>
      <c r="Q33" s="20" t="s">
        <v>686</v>
      </c>
      <c r="R33" s="20" t="s">
        <v>1030</v>
      </c>
      <c r="S33" s="20"/>
      <c r="T33" s="2"/>
      <c r="U33" s="2"/>
      <c r="V33" s="2"/>
      <c r="W33" s="2"/>
      <c r="X33" s="2"/>
      <c r="Y33" s="2"/>
      <c r="Z33" s="2"/>
    </row>
    <row r="34" customFormat="false" ht="42" hidden="false" customHeight="true" outlineLevel="0" collapsed="false">
      <c r="A34" s="12" t="s">
        <v>387</v>
      </c>
      <c r="B34" s="12" t="s">
        <v>388</v>
      </c>
      <c r="C34" s="20" t="s">
        <v>849</v>
      </c>
      <c r="D34" s="20" t="s">
        <v>849</v>
      </c>
      <c r="E34" s="20" t="s">
        <v>849</v>
      </c>
      <c r="F34" s="20" t="s">
        <v>849</v>
      </c>
      <c r="G34" s="20" t="s">
        <v>849</v>
      </c>
      <c r="H34" s="20" t="s">
        <v>849</v>
      </c>
      <c r="I34" s="20" t="s">
        <v>849</v>
      </c>
      <c r="J34" s="20" t="s">
        <v>849</v>
      </c>
      <c r="K34" s="20" t="s">
        <v>849</v>
      </c>
      <c r="L34" s="20" t="s">
        <v>849</v>
      </c>
      <c r="M34" s="20" t="s">
        <v>849</v>
      </c>
      <c r="N34" s="20" t="s">
        <v>849</v>
      </c>
      <c r="O34" s="20" t="s">
        <v>849</v>
      </c>
      <c r="P34" s="20" t="s">
        <v>849</v>
      </c>
      <c r="Q34" s="20" t="s">
        <v>686</v>
      </c>
      <c r="R34" s="20" t="s">
        <v>1030</v>
      </c>
      <c r="S34" s="20"/>
      <c r="T34" s="2"/>
      <c r="U34" s="2"/>
      <c r="V34" s="2"/>
      <c r="W34" s="2"/>
      <c r="X34" s="2"/>
      <c r="Y34" s="2"/>
      <c r="Z34" s="2"/>
    </row>
    <row r="35" customFormat="false" ht="42" hidden="false" customHeight="true" outlineLevel="0" collapsed="false">
      <c r="A35" s="12" t="s">
        <v>396</v>
      </c>
      <c r="B35" s="12" t="s">
        <v>397</v>
      </c>
      <c r="C35" s="20" t="s">
        <v>849</v>
      </c>
      <c r="D35" s="20" t="s">
        <v>849</v>
      </c>
      <c r="E35" s="20" t="s">
        <v>849</v>
      </c>
      <c r="F35" s="20" t="s">
        <v>849</v>
      </c>
      <c r="G35" s="20" t="s">
        <v>849</v>
      </c>
      <c r="H35" s="20" t="s">
        <v>849</v>
      </c>
      <c r="I35" s="20" t="s">
        <v>849</v>
      </c>
      <c r="J35" s="20" t="s">
        <v>849</v>
      </c>
      <c r="K35" s="20" t="s">
        <v>849</v>
      </c>
      <c r="L35" s="20" t="s">
        <v>849</v>
      </c>
      <c r="M35" s="20" t="s">
        <v>849</v>
      </c>
      <c r="N35" s="20" t="s">
        <v>849</v>
      </c>
      <c r="O35" s="20" t="s">
        <v>849</v>
      </c>
      <c r="P35" s="20" t="s">
        <v>849</v>
      </c>
      <c r="Q35" s="20" t="s">
        <v>686</v>
      </c>
      <c r="R35" s="20" t="s">
        <v>1030</v>
      </c>
      <c r="S35" s="20"/>
      <c r="T35" s="2"/>
      <c r="U35" s="2"/>
      <c r="V35" s="2"/>
      <c r="W35" s="2"/>
      <c r="X35" s="2"/>
      <c r="Y35" s="2"/>
      <c r="Z35" s="2"/>
    </row>
    <row r="36" customFormat="false" ht="42" hidden="false" customHeight="true" outlineLevel="0" collapsed="false">
      <c r="A36" s="12" t="s">
        <v>407</v>
      </c>
      <c r="B36" s="12" t="s">
        <v>408</v>
      </c>
      <c r="C36" s="20" t="s">
        <v>849</v>
      </c>
      <c r="D36" s="20" t="s">
        <v>849</v>
      </c>
      <c r="E36" s="20" t="s">
        <v>849</v>
      </c>
      <c r="F36" s="20" t="s">
        <v>849</v>
      </c>
      <c r="G36" s="20" t="s">
        <v>849</v>
      </c>
      <c r="H36" s="20" t="s">
        <v>849</v>
      </c>
      <c r="I36" s="20" t="s">
        <v>849</v>
      </c>
      <c r="J36" s="20" t="s">
        <v>849</v>
      </c>
      <c r="K36" s="20" t="s">
        <v>849</v>
      </c>
      <c r="L36" s="20" t="s">
        <v>849</v>
      </c>
      <c r="M36" s="20" t="s">
        <v>849</v>
      </c>
      <c r="N36" s="20" t="s">
        <v>849</v>
      </c>
      <c r="O36" s="20" t="s">
        <v>849</v>
      </c>
      <c r="P36" s="20" t="s">
        <v>849</v>
      </c>
      <c r="Q36" s="20" t="s">
        <v>849</v>
      </c>
      <c r="R36" s="20" t="s">
        <v>1030</v>
      </c>
      <c r="S36" s="20" t="s">
        <v>709</v>
      </c>
      <c r="T36" s="2"/>
      <c r="U36" s="2"/>
      <c r="V36" s="2"/>
      <c r="W36" s="2"/>
      <c r="X36" s="2"/>
      <c r="Y36" s="2"/>
      <c r="Z36" s="2"/>
    </row>
    <row r="37" customFormat="false" ht="42" hidden="false" customHeight="true" outlineLevel="0" collapsed="false">
      <c r="A37" s="12" t="s">
        <v>418</v>
      </c>
      <c r="B37" s="12" t="s">
        <v>419</v>
      </c>
      <c r="C37" s="20" t="s">
        <v>849</v>
      </c>
      <c r="D37" s="20" t="s">
        <v>849</v>
      </c>
      <c r="E37" s="20" t="s">
        <v>849</v>
      </c>
      <c r="F37" s="20" t="s">
        <v>849</v>
      </c>
      <c r="G37" s="20" t="s">
        <v>849</v>
      </c>
      <c r="H37" s="20" t="s">
        <v>849</v>
      </c>
      <c r="I37" s="20" t="s">
        <v>849</v>
      </c>
      <c r="J37" s="20" t="s">
        <v>849</v>
      </c>
      <c r="K37" s="20" t="s">
        <v>849</v>
      </c>
      <c r="L37" s="20" t="s">
        <v>849</v>
      </c>
      <c r="M37" s="20" t="s">
        <v>849</v>
      </c>
      <c r="N37" s="20" t="s">
        <v>849</v>
      </c>
      <c r="O37" s="20" t="s">
        <v>849</v>
      </c>
      <c r="P37" s="20" t="s">
        <v>849</v>
      </c>
      <c r="Q37" s="20" t="s">
        <v>849</v>
      </c>
      <c r="R37" s="20" t="s">
        <v>1030</v>
      </c>
      <c r="S37" s="20"/>
      <c r="T37" s="2"/>
      <c r="U37" s="2"/>
      <c r="V37" s="2"/>
      <c r="W37" s="2"/>
      <c r="X37" s="2"/>
      <c r="Y37" s="2"/>
      <c r="Z37" s="2"/>
    </row>
    <row r="38" customFormat="false" ht="42" hidden="false" customHeight="true" outlineLevel="0" collapsed="false">
      <c r="A38" s="12" t="s">
        <v>429</v>
      </c>
      <c r="B38" s="12" t="s">
        <v>430</v>
      </c>
      <c r="C38" s="20" t="s">
        <v>849</v>
      </c>
      <c r="D38" s="20" t="s">
        <v>849</v>
      </c>
      <c r="E38" s="20" t="s">
        <v>849</v>
      </c>
      <c r="F38" s="20" t="s">
        <v>849</v>
      </c>
      <c r="G38" s="20" t="s">
        <v>849</v>
      </c>
      <c r="H38" s="20" t="s">
        <v>849</v>
      </c>
      <c r="I38" s="20" t="s">
        <v>849</v>
      </c>
      <c r="J38" s="20" t="s">
        <v>849</v>
      </c>
      <c r="K38" s="20" t="s">
        <v>849</v>
      </c>
      <c r="L38" s="20" t="s">
        <v>849</v>
      </c>
      <c r="M38" s="20" t="s">
        <v>849</v>
      </c>
      <c r="N38" s="20" t="s">
        <v>849</v>
      </c>
      <c r="O38" s="20" t="s">
        <v>849</v>
      </c>
      <c r="P38" s="20" t="s">
        <v>849</v>
      </c>
      <c r="Q38" s="20" t="s">
        <v>849</v>
      </c>
      <c r="R38" s="20" t="s">
        <v>1030</v>
      </c>
      <c r="S38" s="20"/>
      <c r="T38" s="2"/>
      <c r="U38" s="2"/>
      <c r="V38" s="2"/>
      <c r="W38" s="2"/>
      <c r="X38" s="2"/>
      <c r="Y38" s="2"/>
      <c r="Z38" s="2"/>
    </row>
    <row r="39" customFormat="false" ht="42" hidden="false" customHeight="true" outlineLevel="0" collapsed="false">
      <c r="A39" s="12" t="s">
        <v>439</v>
      </c>
      <c r="B39" s="12" t="s">
        <v>440</v>
      </c>
      <c r="C39" s="20" t="s">
        <v>849</v>
      </c>
      <c r="D39" s="20" t="s">
        <v>849</v>
      </c>
      <c r="E39" s="20" t="s">
        <v>849</v>
      </c>
      <c r="F39" s="20" t="s">
        <v>849</v>
      </c>
      <c r="G39" s="20" t="s">
        <v>849</v>
      </c>
      <c r="H39" s="20" t="s">
        <v>849</v>
      </c>
      <c r="I39" s="20" t="s">
        <v>849</v>
      </c>
      <c r="J39" s="20" t="s">
        <v>849</v>
      </c>
      <c r="K39" s="20" t="s">
        <v>849</v>
      </c>
      <c r="L39" s="20" t="s">
        <v>849</v>
      </c>
      <c r="M39" s="20" t="s">
        <v>849</v>
      </c>
      <c r="N39" s="20" t="s">
        <v>849</v>
      </c>
      <c r="O39" s="20" t="s">
        <v>849</v>
      </c>
      <c r="P39" s="20" t="s">
        <v>849</v>
      </c>
      <c r="Q39" s="20" t="s">
        <v>849</v>
      </c>
      <c r="R39" s="20" t="s">
        <v>1030</v>
      </c>
      <c r="S39" s="20"/>
      <c r="T39" s="2"/>
      <c r="U39" s="2"/>
      <c r="V39" s="2"/>
      <c r="W39" s="2"/>
      <c r="X39" s="2"/>
      <c r="Y39" s="2"/>
      <c r="Z39" s="2"/>
    </row>
    <row r="40" customFormat="false" ht="42" hidden="false" customHeight="true" outlineLevel="0" collapsed="false">
      <c r="A40" s="12" t="s">
        <v>450</v>
      </c>
      <c r="B40" s="12" t="s">
        <v>451</v>
      </c>
      <c r="C40" s="20" t="s">
        <v>849</v>
      </c>
      <c r="D40" s="20" t="s">
        <v>849</v>
      </c>
      <c r="E40" s="20" t="s">
        <v>849</v>
      </c>
      <c r="F40" s="20" t="s">
        <v>849</v>
      </c>
      <c r="G40" s="20" t="s">
        <v>849</v>
      </c>
      <c r="H40" s="20" t="s">
        <v>849</v>
      </c>
      <c r="I40" s="20" t="s">
        <v>849</v>
      </c>
      <c r="J40" s="20" t="s">
        <v>849</v>
      </c>
      <c r="K40" s="20" t="s">
        <v>849</v>
      </c>
      <c r="L40" s="20" t="s">
        <v>849</v>
      </c>
      <c r="M40" s="20" t="s">
        <v>849</v>
      </c>
      <c r="N40" s="20" t="s">
        <v>849</v>
      </c>
      <c r="O40" s="20" t="s">
        <v>849</v>
      </c>
      <c r="P40" s="20" t="s">
        <v>849</v>
      </c>
      <c r="Q40" s="20" t="s">
        <v>849</v>
      </c>
      <c r="R40" s="20" t="s">
        <v>1030</v>
      </c>
      <c r="S40" s="20"/>
      <c r="T40" s="2"/>
      <c r="U40" s="2"/>
      <c r="V40" s="2"/>
      <c r="W40" s="2"/>
      <c r="X40" s="2"/>
      <c r="Y40" s="2"/>
      <c r="Z40" s="2"/>
    </row>
    <row r="41" customFormat="false" ht="42" hidden="false" customHeight="true" outlineLevel="0" collapsed="false">
      <c r="A41" s="12" t="s">
        <v>461</v>
      </c>
      <c r="B41" s="12" t="s">
        <v>462</v>
      </c>
      <c r="C41" s="20" t="s">
        <v>849</v>
      </c>
      <c r="D41" s="20" t="s">
        <v>849</v>
      </c>
      <c r="E41" s="20" t="s">
        <v>849</v>
      </c>
      <c r="F41" s="20" t="s">
        <v>849</v>
      </c>
      <c r="G41" s="20" t="s">
        <v>849</v>
      </c>
      <c r="H41" s="20" t="s">
        <v>849</v>
      </c>
      <c r="I41" s="20" t="s">
        <v>849</v>
      </c>
      <c r="J41" s="20" t="s">
        <v>849</v>
      </c>
      <c r="K41" s="20" t="s">
        <v>849</v>
      </c>
      <c r="L41" s="20" t="s">
        <v>849</v>
      </c>
      <c r="M41" s="20" t="s">
        <v>849</v>
      </c>
      <c r="N41" s="20" t="s">
        <v>849</v>
      </c>
      <c r="O41" s="20" t="s">
        <v>849</v>
      </c>
      <c r="P41" s="20" t="s">
        <v>849</v>
      </c>
      <c r="Q41" s="20" t="s">
        <v>849</v>
      </c>
      <c r="R41" s="20" t="s">
        <v>1030</v>
      </c>
      <c r="S41" s="20"/>
      <c r="T41" s="2"/>
      <c r="U41" s="2"/>
      <c r="V41" s="2"/>
      <c r="W41" s="2"/>
      <c r="X41" s="2"/>
      <c r="Y41" s="2"/>
      <c r="Z41" s="2"/>
    </row>
    <row r="42" customFormat="false" ht="42" hidden="false" customHeight="true" outlineLevel="0" collapsed="false">
      <c r="A42" s="12" t="s">
        <v>471</v>
      </c>
      <c r="B42" s="12" t="s">
        <v>472</v>
      </c>
      <c r="C42" s="20" t="s">
        <v>849</v>
      </c>
      <c r="D42" s="20" t="s">
        <v>849</v>
      </c>
      <c r="E42" s="20" t="s">
        <v>849</v>
      </c>
      <c r="F42" s="20" t="s">
        <v>849</v>
      </c>
      <c r="G42" s="20" t="s">
        <v>849</v>
      </c>
      <c r="H42" s="20" t="s">
        <v>849</v>
      </c>
      <c r="I42" s="20" t="s">
        <v>849</v>
      </c>
      <c r="J42" s="20" t="s">
        <v>849</v>
      </c>
      <c r="K42" s="20" t="s">
        <v>849</v>
      </c>
      <c r="L42" s="20" t="s">
        <v>849</v>
      </c>
      <c r="M42" s="20" t="s">
        <v>849</v>
      </c>
      <c r="N42" s="20" t="s">
        <v>849</v>
      </c>
      <c r="O42" s="20" t="s">
        <v>849</v>
      </c>
      <c r="P42" s="20" t="s">
        <v>849</v>
      </c>
      <c r="Q42" s="20" t="s">
        <v>849</v>
      </c>
      <c r="R42" s="20" t="s">
        <v>1030</v>
      </c>
      <c r="S42" s="20"/>
      <c r="T42" s="2"/>
      <c r="U42" s="2"/>
      <c r="V42" s="2"/>
      <c r="W42" s="2"/>
      <c r="X42" s="2"/>
      <c r="Y42" s="2"/>
      <c r="Z42" s="2"/>
    </row>
    <row r="43" customFormat="false" ht="42" hidden="false" customHeight="true" outlineLevel="0" collapsed="false">
      <c r="A43" s="12" t="s">
        <v>482</v>
      </c>
      <c r="B43" s="12" t="s">
        <v>483</v>
      </c>
      <c r="C43" s="20" t="s">
        <v>849</v>
      </c>
      <c r="D43" s="20" t="s">
        <v>849</v>
      </c>
      <c r="E43" s="20" t="s">
        <v>849</v>
      </c>
      <c r="F43" s="20" t="s">
        <v>849</v>
      </c>
      <c r="G43" s="20" t="s">
        <v>849</v>
      </c>
      <c r="H43" s="20" t="s">
        <v>849</v>
      </c>
      <c r="I43" s="20" t="s">
        <v>849</v>
      </c>
      <c r="J43" s="20" t="s">
        <v>849</v>
      </c>
      <c r="K43" s="20" t="s">
        <v>849</v>
      </c>
      <c r="L43" s="20" t="s">
        <v>849</v>
      </c>
      <c r="M43" s="20" t="s">
        <v>849</v>
      </c>
      <c r="N43" s="20" t="s">
        <v>849</v>
      </c>
      <c r="O43" s="20" t="s">
        <v>849</v>
      </c>
      <c r="P43" s="20" t="s">
        <v>849</v>
      </c>
      <c r="Q43" s="20" t="s">
        <v>849</v>
      </c>
      <c r="R43" s="20" t="s">
        <v>1030</v>
      </c>
      <c r="S43" s="20"/>
      <c r="T43" s="2"/>
      <c r="U43" s="2"/>
      <c r="V43" s="2"/>
      <c r="W43" s="2"/>
      <c r="X43" s="2"/>
      <c r="Y43" s="2"/>
      <c r="Z43" s="2"/>
    </row>
    <row r="44" customFormat="false" ht="42" hidden="false" customHeight="true" outlineLevel="0" collapsed="false">
      <c r="A44" s="12" t="s">
        <v>493</v>
      </c>
      <c r="B44" s="12" t="s">
        <v>494</v>
      </c>
      <c r="C44" s="20" t="s">
        <v>849</v>
      </c>
      <c r="D44" s="20" t="s">
        <v>849</v>
      </c>
      <c r="E44" s="20" t="s">
        <v>686</v>
      </c>
      <c r="F44" s="20" t="s">
        <v>849</v>
      </c>
      <c r="G44" s="20" t="s">
        <v>849</v>
      </c>
      <c r="H44" s="20" t="s">
        <v>849</v>
      </c>
      <c r="I44" s="20" t="s">
        <v>849</v>
      </c>
      <c r="J44" s="20" t="s">
        <v>849</v>
      </c>
      <c r="K44" s="20" t="s">
        <v>849</v>
      </c>
      <c r="L44" s="20" t="s">
        <v>849</v>
      </c>
      <c r="M44" s="20" t="s">
        <v>849</v>
      </c>
      <c r="N44" s="20" t="s">
        <v>849</v>
      </c>
      <c r="O44" s="20" t="s">
        <v>849</v>
      </c>
      <c r="P44" s="20" t="s">
        <v>849</v>
      </c>
      <c r="Q44" s="20" t="s">
        <v>849</v>
      </c>
      <c r="R44" s="20" t="s">
        <v>1030</v>
      </c>
      <c r="S44" s="20" t="s">
        <v>1031</v>
      </c>
      <c r="T44" s="2"/>
      <c r="U44" s="2"/>
      <c r="V44" s="2"/>
      <c r="W44" s="2"/>
      <c r="X44" s="2"/>
      <c r="Y44" s="2"/>
      <c r="Z44" s="2"/>
    </row>
    <row r="45" customFormat="false" ht="42" hidden="false" customHeight="true" outlineLevel="0" collapsed="false">
      <c r="A45" s="12" t="s">
        <v>504</v>
      </c>
      <c r="B45" s="12" t="s">
        <v>505</v>
      </c>
      <c r="C45" s="20" t="s">
        <v>849</v>
      </c>
      <c r="D45" s="20" t="s">
        <v>849</v>
      </c>
      <c r="E45" s="20" t="s">
        <v>686</v>
      </c>
      <c r="F45" s="20" t="s">
        <v>849</v>
      </c>
      <c r="G45" s="20" t="s">
        <v>849</v>
      </c>
      <c r="H45" s="20" t="s">
        <v>849</v>
      </c>
      <c r="I45" s="20" t="s">
        <v>849</v>
      </c>
      <c r="J45" s="20" t="s">
        <v>849</v>
      </c>
      <c r="K45" s="20" t="s">
        <v>849</v>
      </c>
      <c r="L45" s="20" t="s">
        <v>849</v>
      </c>
      <c r="M45" s="20" t="s">
        <v>849</v>
      </c>
      <c r="N45" s="20" t="s">
        <v>849</v>
      </c>
      <c r="O45" s="20" t="s">
        <v>849</v>
      </c>
      <c r="P45" s="20" t="s">
        <v>849</v>
      </c>
      <c r="Q45" s="20" t="s">
        <v>849</v>
      </c>
      <c r="R45" s="20" t="s">
        <v>1030</v>
      </c>
      <c r="S45" s="20" t="s">
        <v>1031</v>
      </c>
      <c r="T45" s="2"/>
      <c r="U45" s="2"/>
      <c r="V45" s="2"/>
      <c r="W45" s="2"/>
      <c r="X45" s="2"/>
      <c r="Y45" s="2"/>
      <c r="Z45" s="2"/>
    </row>
    <row r="46" customFormat="false" ht="42" hidden="false" customHeight="true" outlineLevel="0" collapsed="false">
      <c r="A46" s="12" t="s">
        <v>515</v>
      </c>
      <c r="B46" s="12" t="s">
        <v>516</v>
      </c>
      <c r="C46" s="20" t="s">
        <v>849</v>
      </c>
      <c r="D46" s="20" t="s">
        <v>849</v>
      </c>
      <c r="E46" s="20" t="s">
        <v>686</v>
      </c>
      <c r="F46" s="20" t="s">
        <v>849</v>
      </c>
      <c r="G46" s="20" t="s">
        <v>849</v>
      </c>
      <c r="H46" s="20" t="s">
        <v>849</v>
      </c>
      <c r="I46" s="20" t="s">
        <v>849</v>
      </c>
      <c r="J46" s="20" t="s">
        <v>849</v>
      </c>
      <c r="K46" s="20" t="s">
        <v>849</v>
      </c>
      <c r="L46" s="20" t="s">
        <v>849</v>
      </c>
      <c r="M46" s="20" t="s">
        <v>849</v>
      </c>
      <c r="N46" s="20" t="s">
        <v>849</v>
      </c>
      <c r="O46" s="20" t="s">
        <v>849</v>
      </c>
      <c r="P46" s="20" t="s">
        <v>849</v>
      </c>
      <c r="Q46" s="20" t="s">
        <v>849</v>
      </c>
      <c r="R46" s="20" t="s">
        <v>1030</v>
      </c>
      <c r="S46" s="20" t="s">
        <v>1031</v>
      </c>
      <c r="T46" s="2"/>
      <c r="U46" s="2"/>
      <c r="V46" s="2"/>
      <c r="W46" s="2"/>
      <c r="X46" s="2"/>
      <c r="Y46" s="2"/>
      <c r="Z46" s="2"/>
    </row>
    <row r="47" customFormat="false" ht="42" hidden="false" customHeight="true" outlineLevel="0" collapsed="false">
      <c r="A47" s="12" t="s">
        <v>526</v>
      </c>
      <c r="B47" s="12" t="s">
        <v>527</v>
      </c>
      <c r="C47" s="20" t="s">
        <v>849</v>
      </c>
      <c r="D47" s="20" t="s">
        <v>849</v>
      </c>
      <c r="E47" s="20" t="s">
        <v>686</v>
      </c>
      <c r="F47" s="20" t="s">
        <v>849</v>
      </c>
      <c r="G47" s="20" t="s">
        <v>849</v>
      </c>
      <c r="H47" s="20" t="s">
        <v>849</v>
      </c>
      <c r="I47" s="20" t="s">
        <v>849</v>
      </c>
      <c r="J47" s="20" t="s">
        <v>849</v>
      </c>
      <c r="K47" s="20" t="s">
        <v>849</v>
      </c>
      <c r="L47" s="20" t="s">
        <v>849</v>
      </c>
      <c r="M47" s="20" t="s">
        <v>849</v>
      </c>
      <c r="N47" s="20" t="s">
        <v>849</v>
      </c>
      <c r="O47" s="20" t="s">
        <v>849</v>
      </c>
      <c r="P47" s="20" t="s">
        <v>849</v>
      </c>
      <c r="Q47" s="20" t="s">
        <v>849</v>
      </c>
      <c r="R47" s="20" t="s">
        <v>1030</v>
      </c>
      <c r="S47" s="20" t="s">
        <v>1031</v>
      </c>
      <c r="T47" s="2"/>
      <c r="U47" s="2"/>
      <c r="V47" s="2"/>
      <c r="W47" s="2"/>
      <c r="X47" s="2"/>
      <c r="Y47" s="2"/>
      <c r="Z47" s="2"/>
    </row>
    <row r="48" customFormat="false" ht="42" hidden="false" customHeight="true" outlineLevel="0" collapsed="false">
      <c r="A48" s="12" t="s">
        <v>537</v>
      </c>
      <c r="B48" s="12" t="s">
        <v>538</v>
      </c>
      <c r="C48" s="20" t="s">
        <v>849</v>
      </c>
      <c r="D48" s="20" t="s">
        <v>849</v>
      </c>
      <c r="E48" s="20" t="s">
        <v>849</v>
      </c>
      <c r="F48" s="20" t="s">
        <v>849</v>
      </c>
      <c r="G48" s="20" t="s">
        <v>849</v>
      </c>
      <c r="H48" s="20" t="s">
        <v>849</v>
      </c>
      <c r="I48" s="20" t="s">
        <v>849</v>
      </c>
      <c r="J48" s="20" t="s">
        <v>849</v>
      </c>
      <c r="K48" s="20" t="s">
        <v>849</v>
      </c>
      <c r="L48" s="20" t="s">
        <v>849</v>
      </c>
      <c r="M48" s="20" t="s">
        <v>849</v>
      </c>
      <c r="N48" s="20" t="s">
        <v>849</v>
      </c>
      <c r="O48" s="20" t="s">
        <v>849</v>
      </c>
      <c r="P48" s="20" t="s">
        <v>849</v>
      </c>
      <c r="Q48" s="20" t="s">
        <v>849</v>
      </c>
      <c r="R48" s="20" t="s">
        <v>1030</v>
      </c>
      <c r="S48" s="20"/>
      <c r="T48" s="2"/>
      <c r="U48" s="2"/>
      <c r="V48" s="2"/>
      <c r="W48" s="2"/>
      <c r="X48" s="2"/>
      <c r="Y48" s="2"/>
      <c r="Z48" s="2"/>
    </row>
    <row r="49" customFormat="false" ht="42" hidden="false" customHeight="true" outlineLevel="0" collapsed="false">
      <c r="A49" s="12" t="s">
        <v>548</v>
      </c>
      <c r="B49" s="12" t="s">
        <v>549</v>
      </c>
      <c r="C49" s="20" t="s">
        <v>849</v>
      </c>
      <c r="D49" s="20" t="s">
        <v>849</v>
      </c>
      <c r="E49" s="20" t="s">
        <v>849</v>
      </c>
      <c r="F49" s="20" t="s">
        <v>849</v>
      </c>
      <c r="G49" s="20" t="s">
        <v>849</v>
      </c>
      <c r="H49" s="20" t="s">
        <v>849</v>
      </c>
      <c r="I49" s="20" t="s">
        <v>849</v>
      </c>
      <c r="J49" s="20" t="s">
        <v>849</v>
      </c>
      <c r="K49" s="20" t="s">
        <v>849</v>
      </c>
      <c r="L49" s="20" t="s">
        <v>849</v>
      </c>
      <c r="M49" s="20" t="s">
        <v>849</v>
      </c>
      <c r="N49" s="20" t="s">
        <v>849</v>
      </c>
      <c r="O49" s="20" t="s">
        <v>849</v>
      </c>
      <c r="P49" s="20" t="s">
        <v>849</v>
      </c>
      <c r="Q49" s="20" t="s">
        <v>849</v>
      </c>
      <c r="R49" s="20" t="s">
        <v>1030</v>
      </c>
      <c r="S49" s="20"/>
      <c r="T49" s="2"/>
      <c r="U49" s="2"/>
      <c r="V49" s="2"/>
      <c r="W49" s="2"/>
      <c r="X49" s="2"/>
      <c r="Y49" s="2"/>
      <c r="Z49" s="2"/>
    </row>
    <row r="50" customFormat="false" ht="42" hidden="false" customHeight="true" outlineLevel="0" collapsed="false">
      <c r="A50" s="12" t="s">
        <v>559</v>
      </c>
      <c r="B50" s="12" t="s">
        <v>560</v>
      </c>
      <c r="C50" s="20" t="s">
        <v>849</v>
      </c>
      <c r="D50" s="20" t="s">
        <v>849</v>
      </c>
      <c r="E50" s="20" t="s">
        <v>849</v>
      </c>
      <c r="F50" s="20" t="s">
        <v>849</v>
      </c>
      <c r="G50" s="20" t="s">
        <v>849</v>
      </c>
      <c r="H50" s="20" t="s">
        <v>849</v>
      </c>
      <c r="I50" s="20" t="s">
        <v>849</v>
      </c>
      <c r="J50" s="20" t="s">
        <v>849</v>
      </c>
      <c r="K50" s="20" t="s">
        <v>849</v>
      </c>
      <c r="L50" s="20" t="s">
        <v>849</v>
      </c>
      <c r="M50" s="20" t="s">
        <v>849</v>
      </c>
      <c r="N50" s="20" t="s">
        <v>849</v>
      </c>
      <c r="O50" s="20" t="s">
        <v>849</v>
      </c>
      <c r="P50" s="20" t="s">
        <v>849</v>
      </c>
      <c r="Q50" s="20" t="s">
        <v>849</v>
      </c>
      <c r="R50" s="20" t="s">
        <v>1030</v>
      </c>
      <c r="S50" s="20"/>
      <c r="T50" s="2"/>
      <c r="U50" s="2"/>
      <c r="V50" s="2"/>
      <c r="W50" s="2"/>
      <c r="X50" s="2"/>
      <c r="Y50" s="2"/>
      <c r="Z50" s="2"/>
    </row>
    <row r="51" customFormat="false" ht="42" hidden="false" customHeight="true" outlineLevel="0" collapsed="false">
      <c r="A51" s="12" t="s">
        <v>570</v>
      </c>
      <c r="B51" s="12" t="s">
        <v>571</v>
      </c>
      <c r="C51" s="20" t="s">
        <v>849</v>
      </c>
      <c r="D51" s="20" t="s">
        <v>849</v>
      </c>
      <c r="E51" s="20" t="s">
        <v>849</v>
      </c>
      <c r="F51" s="20" t="s">
        <v>849</v>
      </c>
      <c r="G51" s="20" t="s">
        <v>849</v>
      </c>
      <c r="H51" s="20" t="s">
        <v>849</v>
      </c>
      <c r="I51" s="20" t="s">
        <v>849</v>
      </c>
      <c r="J51" s="20" t="s">
        <v>849</v>
      </c>
      <c r="K51" s="20" t="s">
        <v>849</v>
      </c>
      <c r="L51" s="20" t="s">
        <v>849</v>
      </c>
      <c r="M51" s="20" t="s">
        <v>849</v>
      </c>
      <c r="N51" s="20" t="s">
        <v>849</v>
      </c>
      <c r="O51" s="20" t="s">
        <v>849</v>
      </c>
      <c r="P51" s="20" t="s">
        <v>849</v>
      </c>
      <c r="Q51" s="20" t="s">
        <v>849</v>
      </c>
      <c r="R51" s="20" t="s">
        <v>1030</v>
      </c>
      <c r="S51" s="20"/>
      <c r="T51" s="2"/>
      <c r="U51" s="2"/>
      <c r="V51" s="2"/>
      <c r="W51" s="2"/>
      <c r="X51" s="2"/>
      <c r="Y51" s="2"/>
      <c r="Z51" s="2"/>
    </row>
    <row r="52" customFormat="false" ht="42" hidden="false" customHeight="true" outlineLevel="0" collapsed="false">
      <c r="A52" s="12" t="s">
        <v>581</v>
      </c>
      <c r="B52" s="12" t="s">
        <v>582</v>
      </c>
      <c r="C52" s="20" t="s">
        <v>849</v>
      </c>
      <c r="D52" s="20" t="s">
        <v>849</v>
      </c>
      <c r="E52" s="20" t="s">
        <v>849</v>
      </c>
      <c r="F52" s="20" t="s">
        <v>849</v>
      </c>
      <c r="G52" s="20" t="s">
        <v>849</v>
      </c>
      <c r="H52" s="20" t="s">
        <v>849</v>
      </c>
      <c r="I52" s="20" t="s">
        <v>849</v>
      </c>
      <c r="J52" s="20" t="s">
        <v>849</v>
      </c>
      <c r="K52" s="20" t="s">
        <v>849</v>
      </c>
      <c r="L52" s="20" t="s">
        <v>849</v>
      </c>
      <c r="M52" s="20" t="s">
        <v>849</v>
      </c>
      <c r="N52" s="20" t="s">
        <v>849</v>
      </c>
      <c r="O52" s="20" t="s">
        <v>849</v>
      </c>
      <c r="P52" s="20" t="s">
        <v>849</v>
      </c>
      <c r="Q52" s="20" t="s">
        <v>849</v>
      </c>
      <c r="R52" s="20" t="s">
        <v>1030</v>
      </c>
      <c r="S52" s="20"/>
      <c r="T52" s="2"/>
      <c r="U52" s="2"/>
      <c r="V52" s="2"/>
      <c r="W52" s="2"/>
      <c r="X52" s="2"/>
      <c r="Y52" s="2"/>
      <c r="Z52" s="2"/>
    </row>
    <row r="53" customFormat="false" ht="42" hidden="false" customHeight="true" outlineLevel="0" collapsed="false">
      <c r="A53" s="12" t="s">
        <v>590</v>
      </c>
      <c r="B53" s="12" t="s">
        <v>591</v>
      </c>
      <c r="C53" s="20" t="s">
        <v>849</v>
      </c>
      <c r="D53" s="20" t="s">
        <v>849</v>
      </c>
      <c r="E53" s="20" t="s">
        <v>849</v>
      </c>
      <c r="F53" s="20" t="s">
        <v>849</v>
      </c>
      <c r="G53" s="20" t="s">
        <v>849</v>
      </c>
      <c r="H53" s="20" t="s">
        <v>849</v>
      </c>
      <c r="I53" s="20" t="s">
        <v>849</v>
      </c>
      <c r="J53" s="20" t="s">
        <v>849</v>
      </c>
      <c r="K53" s="20" t="s">
        <v>849</v>
      </c>
      <c r="L53" s="20" t="s">
        <v>849</v>
      </c>
      <c r="M53" s="20" t="s">
        <v>849</v>
      </c>
      <c r="N53" s="20" t="s">
        <v>849</v>
      </c>
      <c r="O53" s="20" t="s">
        <v>849</v>
      </c>
      <c r="P53" s="20" t="s">
        <v>849</v>
      </c>
      <c r="Q53" s="20" t="s">
        <v>849</v>
      </c>
      <c r="R53" s="20" t="s">
        <v>1030</v>
      </c>
      <c r="S53" s="20"/>
      <c r="T53" s="2"/>
      <c r="U53" s="2"/>
      <c r="V53" s="2"/>
      <c r="W53" s="2"/>
      <c r="X53" s="2"/>
      <c r="Y53" s="2"/>
      <c r="Z53" s="2"/>
    </row>
    <row r="54" customFormat="false" ht="42" hidden="false" customHeight="true" outlineLevel="0" collapsed="false">
      <c r="A54" s="12" t="s">
        <v>601</v>
      </c>
      <c r="B54" s="12" t="s">
        <v>602</v>
      </c>
      <c r="C54" s="20" t="s">
        <v>849</v>
      </c>
      <c r="D54" s="20" t="s">
        <v>849</v>
      </c>
      <c r="E54" s="20" t="s">
        <v>849</v>
      </c>
      <c r="F54" s="20" t="s">
        <v>849</v>
      </c>
      <c r="G54" s="20" t="s">
        <v>849</v>
      </c>
      <c r="H54" s="20" t="s">
        <v>849</v>
      </c>
      <c r="I54" s="20" t="s">
        <v>849</v>
      </c>
      <c r="J54" s="20" t="s">
        <v>849</v>
      </c>
      <c r="K54" s="20" t="s">
        <v>849</v>
      </c>
      <c r="L54" s="20" t="s">
        <v>849</v>
      </c>
      <c r="M54" s="20" t="s">
        <v>849</v>
      </c>
      <c r="N54" s="20" t="s">
        <v>849</v>
      </c>
      <c r="O54" s="20" t="s">
        <v>849</v>
      </c>
      <c r="P54" s="20" t="s">
        <v>849</v>
      </c>
      <c r="Q54" s="20" t="s">
        <v>849</v>
      </c>
      <c r="R54" s="20" t="s">
        <v>1030</v>
      </c>
      <c r="S54" s="20"/>
      <c r="T54" s="2"/>
      <c r="U54" s="2"/>
      <c r="V54" s="2"/>
      <c r="W54" s="2"/>
      <c r="X54" s="2"/>
      <c r="Y54" s="2"/>
      <c r="Z54" s="2"/>
    </row>
    <row r="55" customFormat="false" ht="42" hidden="false" customHeight="true" outlineLevel="0" collapsed="false">
      <c r="A55" s="12" t="s">
        <v>612</v>
      </c>
      <c r="B55" s="12" t="s">
        <v>613</v>
      </c>
      <c r="C55" s="20" t="s">
        <v>849</v>
      </c>
      <c r="D55" s="20" t="s">
        <v>849</v>
      </c>
      <c r="E55" s="20" t="s">
        <v>849</v>
      </c>
      <c r="F55" s="20" t="s">
        <v>849</v>
      </c>
      <c r="G55" s="20" t="s">
        <v>849</v>
      </c>
      <c r="H55" s="20" t="s">
        <v>849</v>
      </c>
      <c r="I55" s="20" t="s">
        <v>849</v>
      </c>
      <c r="J55" s="20" t="s">
        <v>849</v>
      </c>
      <c r="K55" s="20" t="s">
        <v>849</v>
      </c>
      <c r="L55" s="20" t="s">
        <v>849</v>
      </c>
      <c r="M55" s="20" t="s">
        <v>849</v>
      </c>
      <c r="N55" s="20" t="s">
        <v>849</v>
      </c>
      <c r="O55" s="20" t="s">
        <v>849</v>
      </c>
      <c r="P55" s="20" t="s">
        <v>849</v>
      </c>
      <c r="Q55" s="20" t="s">
        <v>849</v>
      </c>
      <c r="R55" s="20" t="s">
        <v>1030</v>
      </c>
      <c r="S55" s="20"/>
      <c r="T55" s="2"/>
      <c r="U55" s="2"/>
      <c r="V55" s="2"/>
      <c r="W55" s="2"/>
      <c r="X55" s="2"/>
      <c r="Y55" s="2"/>
      <c r="Z55" s="2"/>
    </row>
    <row r="56" customFormat="false" ht="42" hidden="false" customHeight="true" outlineLevel="0" collapsed="false">
      <c r="A56" s="12" t="s">
        <v>623</v>
      </c>
      <c r="B56" s="12" t="s">
        <v>624</v>
      </c>
      <c r="C56" s="20" t="s">
        <v>849</v>
      </c>
      <c r="D56" s="20" t="s">
        <v>849</v>
      </c>
      <c r="E56" s="20" t="s">
        <v>849</v>
      </c>
      <c r="F56" s="20" t="s">
        <v>849</v>
      </c>
      <c r="G56" s="20" t="s">
        <v>849</v>
      </c>
      <c r="H56" s="20" t="s">
        <v>849</v>
      </c>
      <c r="I56" s="20" t="s">
        <v>849</v>
      </c>
      <c r="J56" s="20" t="s">
        <v>849</v>
      </c>
      <c r="K56" s="20" t="s">
        <v>849</v>
      </c>
      <c r="L56" s="20" t="s">
        <v>849</v>
      </c>
      <c r="M56" s="20" t="s">
        <v>849</v>
      </c>
      <c r="N56" s="20" t="s">
        <v>849</v>
      </c>
      <c r="O56" s="20" t="s">
        <v>849</v>
      </c>
      <c r="P56" s="20" t="s">
        <v>849</v>
      </c>
      <c r="Q56" s="20" t="s">
        <v>849</v>
      </c>
      <c r="R56" s="20" t="s">
        <v>1030</v>
      </c>
      <c r="S56" s="20"/>
      <c r="T56" s="2"/>
      <c r="U56" s="2"/>
      <c r="V56" s="2"/>
      <c r="W56" s="2"/>
      <c r="X56" s="2"/>
      <c r="Y56" s="2"/>
      <c r="Z56" s="2"/>
    </row>
    <row r="57" customFormat="false" ht="42" hidden="false" customHeight="true" outlineLevel="0" collapsed="false">
      <c r="A57" s="12" t="s">
        <v>634</v>
      </c>
      <c r="B57" s="12" t="s">
        <v>635</v>
      </c>
      <c r="C57" s="20" t="s">
        <v>849</v>
      </c>
      <c r="D57" s="20" t="s">
        <v>849</v>
      </c>
      <c r="E57" s="20" t="s">
        <v>849</v>
      </c>
      <c r="F57" s="20" t="s">
        <v>849</v>
      </c>
      <c r="G57" s="20" t="s">
        <v>849</v>
      </c>
      <c r="H57" s="20" t="s">
        <v>849</v>
      </c>
      <c r="I57" s="20" t="s">
        <v>849</v>
      </c>
      <c r="J57" s="20" t="s">
        <v>849</v>
      </c>
      <c r="K57" s="20" t="s">
        <v>849</v>
      </c>
      <c r="L57" s="20" t="s">
        <v>849</v>
      </c>
      <c r="M57" s="20" t="s">
        <v>849</v>
      </c>
      <c r="N57" s="20" t="s">
        <v>849</v>
      </c>
      <c r="O57" s="20" t="s">
        <v>849</v>
      </c>
      <c r="P57" s="20" t="s">
        <v>849</v>
      </c>
      <c r="Q57" s="20" t="s">
        <v>849</v>
      </c>
      <c r="R57" s="20" t="s">
        <v>1030</v>
      </c>
      <c r="S57" s="20"/>
      <c r="T57" s="2"/>
      <c r="U57" s="2"/>
      <c r="V57" s="2"/>
      <c r="W57" s="2"/>
      <c r="X57" s="2"/>
      <c r="Y57" s="2"/>
      <c r="Z57" s="2"/>
    </row>
    <row r="58" customFormat="false" ht="42" hidden="false" customHeight="true" outlineLevel="0" collapsed="false">
      <c r="A58" s="12" t="s">
        <v>645</v>
      </c>
      <c r="B58" s="12" t="s">
        <v>646</v>
      </c>
      <c r="C58" s="20" t="s">
        <v>849</v>
      </c>
      <c r="D58" s="20" t="s">
        <v>849</v>
      </c>
      <c r="E58" s="20" t="s">
        <v>849</v>
      </c>
      <c r="F58" s="20" t="s">
        <v>849</v>
      </c>
      <c r="G58" s="20" t="s">
        <v>849</v>
      </c>
      <c r="H58" s="20" t="s">
        <v>849</v>
      </c>
      <c r="I58" s="20" t="s">
        <v>849</v>
      </c>
      <c r="J58" s="20" t="s">
        <v>849</v>
      </c>
      <c r="K58" s="20" t="s">
        <v>849</v>
      </c>
      <c r="L58" s="20" t="s">
        <v>849</v>
      </c>
      <c r="M58" s="20" t="s">
        <v>849</v>
      </c>
      <c r="N58" s="20" t="s">
        <v>849</v>
      </c>
      <c r="O58" s="20" t="s">
        <v>849</v>
      </c>
      <c r="P58" s="20" t="s">
        <v>849</v>
      </c>
      <c r="Q58" s="20" t="s">
        <v>849</v>
      </c>
      <c r="R58" s="20" t="s">
        <v>1030</v>
      </c>
      <c r="S58" s="20"/>
      <c r="T58" s="2"/>
      <c r="U58" s="2"/>
      <c r="V58" s="2"/>
      <c r="W58" s="2"/>
      <c r="X58" s="2"/>
      <c r="Y58" s="2"/>
      <c r="Z58" s="2"/>
    </row>
    <row r="59" customFormat="false" ht="42" hidden="false" customHeight="true" outlineLevel="0" collapsed="false">
      <c r="A59" s="12" t="s">
        <v>656</v>
      </c>
      <c r="B59" s="12" t="s">
        <v>657</v>
      </c>
      <c r="C59" s="20" t="s">
        <v>849</v>
      </c>
      <c r="D59" s="20" t="s">
        <v>849</v>
      </c>
      <c r="E59" s="20" t="s">
        <v>849</v>
      </c>
      <c r="F59" s="20" t="s">
        <v>849</v>
      </c>
      <c r="G59" s="20" t="s">
        <v>849</v>
      </c>
      <c r="H59" s="20" t="s">
        <v>849</v>
      </c>
      <c r="I59" s="20" t="s">
        <v>849</v>
      </c>
      <c r="J59" s="20" t="s">
        <v>849</v>
      </c>
      <c r="K59" s="20" t="s">
        <v>849</v>
      </c>
      <c r="L59" s="20" t="s">
        <v>849</v>
      </c>
      <c r="M59" s="20" t="s">
        <v>849</v>
      </c>
      <c r="N59" s="20" t="s">
        <v>849</v>
      </c>
      <c r="O59" s="20" t="s">
        <v>849</v>
      </c>
      <c r="P59" s="20" t="s">
        <v>849</v>
      </c>
      <c r="Q59" s="20" t="s">
        <v>849</v>
      </c>
      <c r="R59" s="20" t="s">
        <v>1030</v>
      </c>
      <c r="S59" s="20"/>
      <c r="T59" s="2"/>
      <c r="U59" s="2"/>
      <c r="V59" s="2"/>
      <c r="W59" s="2"/>
      <c r="X59" s="2"/>
      <c r="Y59" s="2"/>
      <c r="Z59" s="2"/>
    </row>
    <row r="60" customFormat="false" ht="14.25" hidden="false" customHeight="fals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4.25" hidden="false" customHeight="fals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4.25" hidden="false" customHeight="fals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4.25" hidden="false" customHeight="fals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4.25" hidden="false" customHeight="fals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4.25" hidden="false" customHeight="fals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4.25" hidden="false" customHeight="fals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4.25" hidden="false" customHeight="fals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4.25" hidden="false" customHeight="fals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4.25" hidden="false" customHeight="fals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4.25" hidden="false" customHeight="fals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4.25" hidden="false" customHeight="fals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4.25" hidden="false" customHeight="fals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4.25" hidden="false" customHeight="fals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4.25" hidden="false" customHeight="fals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4.25" hidden="false" customHeight="fals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4.25" hidden="false" customHeight="fals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4.25" hidden="false" customHeight="fals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4.25" hidden="false" customHeight="fals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4.25" hidden="false" customHeight="fals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4.25" hidden="false" customHeight="fals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4.25" hidden="false" customHeight="fals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4.25" hidden="false" customHeight="fals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4.25" hidden="false" customHeight="fals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4.25" hidden="false" customHeight="fals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4.25" hidden="false" customHeight="fals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4.25" hidden="false" customHeight="fals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4.25" hidden="false" customHeight="fals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4.25" hidden="false" customHeight="fals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4.25" hidden="false" customHeight="fals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4.25" hidden="false" customHeight="fals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4.25" hidden="false" customHeight="fals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4.25" hidden="false" customHeight="fals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4.25" hidden="false" customHeight="fals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4.25" hidden="false" customHeight="fals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4.25" hidden="false" customHeight="fals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4.25" hidden="false" customHeight="fals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4.25" hidden="false" customHeight="fals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4.25" hidden="false" customHeight="fals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4.25" hidden="false" customHeight="fals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4.25" hidden="false" customHeight="fals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4.25" hidden="false" customHeight="fals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4.25" hidden="false" customHeight="fals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4.25" hidden="false" customHeight="fals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4.25" hidden="false" customHeight="fals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4.25" hidden="false" customHeight="fals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4.25" hidden="false" customHeight="fals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4.25" hidden="false" customHeight="fals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4.25" hidden="false" customHeight="fals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4.25" hidden="false" customHeight="fals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4.25" hidden="false" customHeight="fals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4.25" hidden="false" customHeight="fals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4.25" hidden="false" customHeight="fals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4.25" hidden="false" customHeight="fals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4.25" hidden="false" customHeight="fals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4.25" hidden="false" customHeight="fals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4.25" hidden="false" customHeight="fals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4.25" hidden="false" customHeight="fals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4.25" hidden="false" customHeight="fals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4.25" hidden="false" customHeight="fals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4.25" hidden="false" customHeight="fals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4.25" hidden="false" customHeight="fals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4.25" hidden="false" customHeight="fals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4.25" hidden="false" customHeight="fals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4.25" hidden="false" customHeight="fals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4.25" hidden="false" customHeight="fals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4.25" hidden="false" customHeight="fals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4.25" hidden="false" customHeight="fals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4.25" hidden="false" customHeight="fals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4.25" hidden="false" customHeight="fals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4.25" hidden="false" customHeight="fals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4.25" hidden="false" customHeight="fals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4.25" hidden="false" customHeight="fals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4.25" hidden="false" customHeight="fals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4.25" hidden="false" customHeight="fals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4.25" hidden="false" customHeight="fals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4.25" hidden="false" customHeight="fals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4.25" hidden="false" customHeight="fals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4.25" hidden="false" customHeight="fals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4.25" hidden="false" customHeight="fals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4.25" hidden="false" customHeight="fals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4.25" hidden="false" customHeight="fals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4.25" hidden="false" customHeight="fals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4.25" hidden="false" customHeight="fals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4.25" hidden="false" customHeight="fals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4.25" hidden="false" customHeight="fals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4.25" hidden="false" customHeight="fals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4.25" hidden="false" customHeight="fals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4.25" hidden="false" customHeight="fals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4.25" hidden="false" customHeight="fals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4.25" hidden="false" customHeight="fals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4.25" hidden="false" customHeight="fals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4.25" hidden="false" customHeight="fals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4.25" hidden="false" customHeight="fals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4.25" hidden="false" customHeight="fals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4.25" hidden="false" customHeight="fals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4.25" hidden="false" customHeight="fals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4.25" hidden="false" customHeight="fals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4.25" hidden="false" customHeight="fals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4.25" hidden="false" customHeight="fals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4.25" hidden="false" customHeight="fals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4.25" hidden="false" customHeight="fals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4.25" hidden="false" customHeight="fals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4.25" hidden="false" customHeight="fals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4.25" hidden="false" customHeight="fals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4.25" hidden="false" customHeight="fals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4.25" hidden="false" customHeight="fals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4.25" hidden="false" customHeight="fals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4.25" hidden="false" customHeight="fals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4.25" hidden="false" customHeight="fals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4.25" hidden="false" customHeight="fals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4.25" hidden="false" customHeight="fals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4.25" hidden="false" customHeight="fals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4.25" hidden="false" customHeight="fals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4.25" hidden="false" customHeight="fals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4.25" hidden="false" customHeight="fals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4.25" hidden="false" customHeight="fals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4.25" hidden="false" customHeight="fals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4.25" hidden="false" customHeight="fals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4.25" hidden="false" customHeight="fals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4.25" hidden="false" customHeight="fals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4.25" hidden="false" customHeight="fals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4.25" hidden="false" customHeight="fals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4.25" hidden="false" customHeight="fals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4.25" hidden="false" customHeight="fals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4.25" hidden="false" customHeight="fals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4.25" hidden="false" customHeight="fals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4.25" hidden="false" customHeight="fals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4.25" hidden="false" customHeight="fals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4.25" hidden="false" customHeight="fals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4.25" hidden="false" customHeight="fals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4.25" hidden="false" customHeight="fals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4.25" hidden="false" customHeight="fals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4.25" hidden="false" customHeight="fals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4.25" hidden="false" customHeight="fals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4.25" hidden="false" customHeight="fals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4.25" hidden="false" customHeight="fals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4.25" hidden="false" customHeight="fals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4.25" hidden="false" customHeight="fals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4.25" hidden="false" customHeight="fals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4.25" hidden="false" customHeight="fals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sheetData>
  <autoFilter ref="A4:S59"/>
  <mergeCells count="2">
    <mergeCell ref="A1:S1"/>
    <mergeCell ref="A2:S2"/>
  </mergeCells>
  <conditionalFormatting sqref="C5:Q59">
    <cfRule type="expression" priority="2" aboveAverage="0" equalAverage="0" bottom="0" percent="0" rank="0" text="" dxfId="17">
      <formula>C5="Verificar"</formula>
    </cfRule>
  </conditionalFormatting>
  <conditionalFormatting sqref="R5:R59">
    <cfRule type="expression" priority="3" aboveAverage="0" equalAverage="0" bottom="0" percent="0" rank="0" text="" dxfId="15">
      <formula>R5="Pendiente"</formula>
    </cfRule>
  </conditionalFormatting>
  <conditionalFormatting sqref="C5:L59">
    <cfRule type="cellIs" priority="4" operator="equal" aboveAverage="0" equalAverage="0" bottom="0" percent="0" rank="0" text="" dxfId="18">
      <formula>"Verificar"</formula>
    </cfRule>
  </conditionalFormatting>
  <dataValidations count="3">
    <dataValidation allowBlank="false" errorStyle="stop" operator="between" showDropDown="false" showErrorMessage="false" showInputMessage="false" sqref="M5:Q59" type="list">
      <formula1>"Sí,No,Verificar"</formula1>
      <formula2>0</formula2>
    </dataValidation>
    <dataValidation allowBlank="false" errorStyle="stop" operator="between" showDropDown="false" showErrorMessage="false" showInputMessage="false" sqref="R5:R59" type="list">
      <formula1>"Pendiente,Validado por cocina,Validado por proveedor"</formula1>
      <formula2>0</formula2>
    </dataValidation>
    <dataValidation allowBlank="true" errorStyle="stop" operator="between" showDropDown="false" showErrorMessage="false" showInputMessage="false" sqref="C5:L59" type="list">
      <formula1>Lista_SNV</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B966E"/>
    <pageSetUpPr fitToPage="false"/>
  </sheetPr>
  <dimension ref="A1:Z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9.00390625" defaultRowHeight="14.2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13" min="3" style="0" width="16"/>
    <col collapsed="false" customWidth="true" hidden="false" outlineLevel="0" max="14" min="14" style="0" width="48"/>
  </cols>
  <sheetData>
    <row r="1" customFormat="false" ht="30" hidden="false" customHeight="true" outlineLevel="0" collapsed="false">
      <c r="A1" s="1" t="s">
        <v>1032</v>
      </c>
      <c r="B1" s="1"/>
      <c r="C1" s="1"/>
      <c r="D1" s="1"/>
      <c r="E1" s="1"/>
      <c r="F1" s="1"/>
      <c r="G1" s="1"/>
      <c r="H1" s="1"/>
      <c r="I1" s="1"/>
      <c r="J1" s="1"/>
      <c r="K1" s="1"/>
      <c r="L1" s="1"/>
      <c r="M1" s="1"/>
      <c r="N1" s="1"/>
      <c r="O1" s="2"/>
      <c r="P1" s="2"/>
      <c r="Q1" s="2"/>
      <c r="R1" s="2"/>
      <c r="S1" s="2"/>
      <c r="T1" s="2"/>
      <c r="U1" s="2"/>
      <c r="V1" s="2"/>
      <c r="W1" s="2"/>
      <c r="X1" s="2"/>
      <c r="Y1" s="2"/>
      <c r="Z1" s="2"/>
    </row>
    <row r="2" customFormat="false" ht="30" hidden="false" customHeight="true" outlineLevel="0" collapsed="false">
      <c r="A2" s="3" t="s">
        <v>1033</v>
      </c>
      <c r="B2" s="3"/>
      <c r="C2" s="3"/>
      <c r="D2" s="3"/>
      <c r="E2" s="3"/>
      <c r="F2" s="3"/>
      <c r="G2" s="3"/>
      <c r="H2" s="3"/>
      <c r="I2" s="3"/>
      <c r="J2" s="3"/>
      <c r="K2" s="3"/>
      <c r="L2" s="3"/>
      <c r="M2" s="3"/>
      <c r="N2" s="3"/>
      <c r="O2" s="2"/>
      <c r="P2" s="2"/>
      <c r="Q2" s="2"/>
      <c r="R2" s="2"/>
      <c r="S2" s="2"/>
      <c r="T2" s="2"/>
      <c r="U2" s="2"/>
      <c r="V2" s="2"/>
      <c r="W2" s="2"/>
      <c r="X2" s="2"/>
      <c r="Y2" s="2"/>
      <c r="Z2" s="2"/>
    </row>
    <row r="3" customFormat="false" ht="14.25" hidden="false" customHeight="false" outlineLevel="0" collapsed="false">
      <c r="A3" s="2"/>
      <c r="B3" s="2"/>
      <c r="C3" s="2"/>
      <c r="D3" s="2"/>
      <c r="E3" s="2"/>
      <c r="F3" s="2"/>
      <c r="G3" s="2"/>
      <c r="H3" s="2"/>
      <c r="I3" s="2"/>
      <c r="J3" s="2"/>
      <c r="K3" s="2"/>
      <c r="L3" s="2"/>
      <c r="M3" s="2"/>
      <c r="N3" s="2"/>
      <c r="O3" s="2"/>
      <c r="P3" s="2"/>
      <c r="Q3" s="2"/>
      <c r="R3" s="2"/>
      <c r="S3" s="2"/>
      <c r="T3" s="2"/>
      <c r="U3" s="2"/>
      <c r="V3" s="2"/>
      <c r="W3" s="2"/>
      <c r="X3" s="2"/>
      <c r="Y3" s="2"/>
      <c r="Z3" s="2"/>
    </row>
    <row r="4" customFormat="false" ht="36" hidden="false" customHeight="true" outlineLevel="0" collapsed="false">
      <c r="A4" s="11" t="s">
        <v>79</v>
      </c>
      <c r="B4" s="11" t="s">
        <v>821</v>
      </c>
      <c r="C4" s="11" t="s">
        <v>1034</v>
      </c>
      <c r="D4" s="11" t="s">
        <v>472</v>
      </c>
      <c r="E4" s="11" t="s">
        <v>483</v>
      </c>
      <c r="F4" s="11" t="s">
        <v>1035</v>
      </c>
      <c r="G4" s="11" t="s">
        <v>1036</v>
      </c>
      <c r="H4" s="11" t="s">
        <v>1037</v>
      </c>
      <c r="I4" s="11" t="s">
        <v>1038</v>
      </c>
      <c r="J4" s="11" t="s">
        <v>1039</v>
      </c>
      <c r="K4" s="11" t="s">
        <v>1040</v>
      </c>
      <c r="L4" s="11" t="s">
        <v>1041</v>
      </c>
      <c r="M4" s="11" t="s">
        <v>1042</v>
      </c>
      <c r="N4" s="11" t="s">
        <v>683</v>
      </c>
      <c r="O4" s="2"/>
      <c r="P4" s="2"/>
      <c r="Q4" s="2"/>
      <c r="R4" s="2"/>
      <c r="S4" s="2"/>
      <c r="T4" s="2"/>
      <c r="U4" s="2"/>
      <c r="V4" s="2"/>
      <c r="W4" s="2"/>
      <c r="X4" s="2"/>
      <c r="Y4" s="2"/>
      <c r="Z4" s="2"/>
    </row>
    <row r="5" customFormat="false" ht="42" hidden="false" customHeight="true" outlineLevel="0" collapsed="false">
      <c r="A5" s="12" t="s">
        <v>91</v>
      </c>
      <c r="B5" s="12" t="s">
        <v>92</v>
      </c>
      <c r="C5" s="20" t="s">
        <v>849</v>
      </c>
      <c r="D5" s="20" t="s">
        <v>687</v>
      </c>
      <c r="E5" s="20" t="s">
        <v>687</v>
      </c>
      <c r="F5" s="20" t="s">
        <v>687</v>
      </c>
      <c r="G5" s="20" t="s">
        <v>849</v>
      </c>
      <c r="H5" s="20" t="s">
        <v>849</v>
      </c>
      <c r="I5" s="20" t="s">
        <v>849</v>
      </c>
      <c r="J5" s="20" t="s">
        <v>849</v>
      </c>
      <c r="K5" s="20" t="s">
        <v>849</v>
      </c>
      <c r="L5" s="20" t="s">
        <v>687</v>
      </c>
      <c r="M5" s="20" t="s">
        <v>849</v>
      </c>
      <c r="N5" s="20"/>
      <c r="O5" s="2"/>
      <c r="P5" s="2"/>
      <c r="Q5" s="2"/>
      <c r="R5" s="2"/>
      <c r="S5" s="2"/>
      <c r="T5" s="2"/>
      <c r="U5" s="2"/>
      <c r="V5" s="2"/>
      <c r="W5" s="2"/>
      <c r="X5" s="2"/>
      <c r="Y5" s="2"/>
      <c r="Z5" s="2"/>
    </row>
    <row r="6" customFormat="false" ht="42" hidden="false" customHeight="true" outlineLevel="0" collapsed="false">
      <c r="A6" s="12" t="s">
        <v>102</v>
      </c>
      <c r="B6" s="12" t="s">
        <v>103</v>
      </c>
      <c r="C6" s="20" t="s">
        <v>849</v>
      </c>
      <c r="D6" s="20" t="s">
        <v>687</v>
      </c>
      <c r="E6" s="20" t="s">
        <v>687</v>
      </c>
      <c r="F6" s="20" t="s">
        <v>687</v>
      </c>
      <c r="G6" s="20" t="s">
        <v>849</v>
      </c>
      <c r="H6" s="20" t="s">
        <v>849</v>
      </c>
      <c r="I6" s="20" t="s">
        <v>849</v>
      </c>
      <c r="J6" s="20" t="s">
        <v>849</v>
      </c>
      <c r="K6" s="20" t="s">
        <v>849</v>
      </c>
      <c r="L6" s="20" t="s">
        <v>687</v>
      </c>
      <c r="M6" s="20" t="s">
        <v>849</v>
      </c>
      <c r="N6" s="20"/>
      <c r="O6" s="2"/>
      <c r="P6" s="2"/>
      <c r="Q6" s="2"/>
      <c r="R6" s="2"/>
      <c r="S6" s="2"/>
      <c r="T6" s="2"/>
      <c r="U6" s="2"/>
      <c r="V6" s="2"/>
      <c r="W6" s="2"/>
      <c r="X6" s="2"/>
      <c r="Y6" s="2"/>
      <c r="Z6" s="2"/>
    </row>
    <row r="7" customFormat="false" ht="42" hidden="false" customHeight="true" outlineLevel="0" collapsed="false">
      <c r="A7" s="12" t="s">
        <v>113</v>
      </c>
      <c r="B7" s="12" t="s">
        <v>114</v>
      </c>
      <c r="C7" s="20" t="s">
        <v>849</v>
      </c>
      <c r="D7" s="20" t="s">
        <v>687</v>
      </c>
      <c r="E7" s="20" t="s">
        <v>687</v>
      </c>
      <c r="F7" s="20" t="s">
        <v>687</v>
      </c>
      <c r="G7" s="20" t="s">
        <v>849</v>
      </c>
      <c r="H7" s="20" t="s">
        <v>849</v>
      </c>
      <c r="I7" s="20" t="s">
        <v>849</v>
      </c>
      <c r="J7" s="20" t="s">
        <v>849</v>
      </c>
      <c r="K7" s="20" t="s">
        <v>849</v>
      </c>
      <c r="L7" s="20" t="s">
        <v>687</v>
      </c>
      <c r="M7" s="20" t="s">
        <v>849</v>
      </c>
      <c r="N7" s="20"/>
      <c r="O7" s="2"/>
      <c r="P7" s="2"/>
      <c r="Q7" s="2"/>
      <c r="R7" s="2"/>
      <c r="S7" s="2"/>
      <c r="T7" s="2"/>
      <c r="U7" s="2"/>
      <c r="V7" s="2"/>
      <c r="W7" s="2"/>
      <c r="X7" s="2"/>
      <c r="Y7" s="2"/>
      <c r="Z7" s="2"/>
    </row>
    <row r="8" customFormat="false" ht="42" hidden="false" customHeight="true" outlineLevel="0" collapsed="false">
      <c r="A8" s="12" t="s">
        <v>124</v>
      </c>
      <c r="B8" s="12" t="s">
        <v>125</v>
      </c>
      <c r="C8" s="20" t="s">
        <v>849</v>
      </c>
      <c r="D8" s="20" t="s">
        <v>687</v>
      </c>
      <c r="E8" s="20" t="s">
        <v>687</v>
      </c>
      <c r="F8" s="20" t="s">
        <v>687</v>
      </c>
      <c r="G8" s="20" t="s">
        <v>849</v>
      </c>
      <c r="H8" s="20" t="s">
        <v>849</v>
      </c>
      <c r="I8" s="20" t="s">
        <v>849</v>
      </c>
      <c r="J8" s="20" t="s">
        <v>849</v>
      </c>
      <c r="K8" s="20" t="s">
        <v>849</v>
      </c>
      <c r="L8" s="20" t="s">
        <v>687</v>
      </c>
      <c r="M8" s="20" t="s">
        <v>849</v>
      </c>
      <c r="N8" s="20"/>
      <c r="O8" s="2"/>
      <c r="P8" s="2"/>
      <c r="Q8" s="2"/>
      <c r="R8" s="2"/>
      <c r="S8" s="2"/>
      <c r="T8" s="2"/>
      <c r="U8" s="2"/>
      <c r="V8" s="2"/>
      <c r="W8" s="2"/>
      <c r="X8" s="2"/>
      <c r="Y8" s="2"/>
      <c r="Z8" s="2"/>
    </row>
    <row r="9" customFormat="false" ht="42" hidden="false" customHeight="true" outlineLevel="0" collapsed="false">
      <c r="A9" s="12" t="s">
        <v>135</v>
      </c>
      <c r="B9" s="12" t="s">
        <v>136</v>
      </c>
      <c r="C9" s="20" t="s">
        <v>849</v>
      </c>
      <c r="D9" s="20" t="s">
        <v>687</v>
      </c>
      <c r="E9" s="20" t="s">
        <v>687</v>
      </c>
      <c r="F9" s="20" t="s">
        <v>687</v>
      </c>
      <c r="G9" s="20" t="s">
        <v>849</v>
      </c>
      <c r="H9" s="20" t="s">
        <v>849</v>
      </c>
      <c r="I9" s="20" t="s">
        <v>849</v>
      </c>
      <c r="J9" s="20" t="s">
        <v>849</v>
      </c>
      <c r="K9" s="20" t="s">
        <v>849</v>
      </c>
      <c r="L9" s="20" t="s">
        <v>687</v>
      </c>
      <c r="M9" s="20" t="s">
        <v>686</v>
      </c>
      <c r="N9" s="20" t="s">
        <v>692</v>
      </c>
      <c r="O9" s="2"/>
      <c r="P9" s="2"/>
      <c r="Q9" s="2"/>
      <c r="R9" s="2"/>
      <c r="S9" s="2"/>
      <c r="T9" s="2"/>
      <c r="U9" s="2"/>
      <c r="V9" s="2"/>
      <c r="W9" s="2"/>
      <c r="X9" s="2"/>
      <c r="Y9" s="2"/>
      <c r="Z9" s="2"/>
    </row>
    <row r="10" customFormat="false" ht="42" hidden="false" customHeight="true" outlineLevel="0" collapsed="false">
      <c r="A10" s="12" t="s">
        <v>146</v>
      </c>
      <c r="B10" s="12" t="s">
        <v>147</v>
      </c>
      <c r="C10" s="20" t="s">
        <v>849</v>
      </c>
      <c r="D10" s="20" t="s">
        <v>687</v>
      </c>
      <c r="E10" s="20" t="s">
        <v>687</v>
      </c>
      <c r="F10" s="20" t="s">
        <v>687</v>
      </c>
      <c r="G10" s="20" t="s">
        <v>849</v>
      </c>
      <c r="H10" s="20" t="s">
        <v>849</v>
      </c>
      <c r="I10" s="20" t="s">
        <v>849</v>
      </c>
      <c r="J10" s="20" t="s">
        <v>849</v>
      </c>
      <c r="K10" s="20" t="s">
        <v>849</v>
      </c>
      <c r="L10" s="20" t="s">
        <v>687</v>
      </c>
      <c r="M10" s="20" t="s">
        <v>686</v>
      </c>
      <c r="N10" s="20"/>
      <c r="O10" s="2"/>
      <c r="P10" s="2"/>
      <c r="Q10" s="2"/>
      <c r="R10" s="2"/>
      <c r="S10" s="2"/>
      <c r="T10" s="2"/>
      <c r="U10" s="2"/>
      <c r="V10" s="2"/>
      <c r="W10" s="2"/>
      <c r="X10" s="2"/>
      <c r="Y10" s="2"/>
      <c r="Z10" s="2"/>
    </row>
    <row r="11" customFormat="false" ht="42" hidden="false" customHeight="true" outlineLevel="0" collapsed="false">
      <c r="A11" s="12" t="s">
        <v>157</v>
      </c>
      <c r="B11" s="12" t="s">
        <v>158</v>
      </c>
      <c r="C11" s="20" t="s">
        <v>849</v>
      </c>
      <c r="D11" s="20" t="s">
        <v>687</v>
      </c>
      <c r="E11" s="20" t="s">
        <v>687</v>
      </c>
      <c r="F11" s="20" t="s">
        <v>687</v>
      </c>
      <c r="G11" s="20" t="s">
        <v>849</v>
      </c>
      <c r="H11" s="20" t="s">
        <v>849</v>
      </c>
      <c r="I11" s="20" t="s">
        <v>849</v>
      </c>
      <c r="J11" s="20" t="s">
        <v>849</v>
      </c>
      <c r="K11" s="20" t="s">
        <v>849</v>
      </c>
      <c r="L11" s="20" t="s">
        <v>687</v>
      </c>
      <c r="M11" s="20" t="s">
        <v>686</v>
      </c>
      <c r="N11" s="20"/>
      <c r="O11" s="2"/>
      <c r="P11" s="2"/>
      <c r="Q11" s="2"/>
      <c r="R11" s="2"/>
      <c r="S11" s="2"/>
      <c r="T11" s="2"/>
      <c r="U11" s="2"/>
      <c r="V11" s="2"/>
      <c r="W11" s="2"/>
      <c r="X11" s="2"/>
      <c r="Y11" s="2"/>
      <c r="Z11" s="2"/>
    </row>
    <row r="12" customFormat="false" ht="42" hidden="false" customHeight="true" outlineLevel="0" collapsed="false">
      <c r="A12" s="12" t="s">
        <v>168</v>
      </c>
      <c r="B12" s="12" t="s">
        <v>169</v>
      </c>
      <c r="C12" s="20" t="s">
        <v>849</v>
      </c>
      <c r="D12" s="20" t="s">
        <v>687</v>
      </c>
      <c r="E12" s="20" t="s">
        <v>687</v>
      </c>
      <c r="F12" s="20" t="s">
        <v>687</v>
      </c>
      <c r="G12" s="20" t="s">
        <v>849</v>
      </c>
      <c r="H12" s="20" t="s">
        <v>849</v>
      </c>
      <c r="I12" s="20" t="s">
        <v>849</v>
      </c>
      <c r="J12" s="20" t="s">
        <v>849</v>
      </c>
      <c r="K12" s="20" t="s">
        <v>849</v>
      </c>
      <c r="L12" s="20" t="s">
        <v>687</v>
      </c>
      <c r="M12" s="20" t="s">
        <v>686</v>
      </c>
      <c r="N12" s="20"/>
      <c r="O12" s="2"/>
      <c r="P12" s="2"/>
      <c r="Q12" s="2"/>
      <c r="R12" s="2"/>
      <c r="S12" s="2"/>
      <c r="T12" s="2"/>
      <c r="U12" s="2"/>
      <c r="V12" s="2"/>
      <c r="W12" s="2"/>
      <c r="X12" s="2"/>
      <c r="Y12" s="2"/>
      <c r="Z12" s="2"/>
    </row>
    <row r="13" customFormat="false" ht="42" hidden="false" customHeight="true" outlineLevel="0" collapsed="false">
      <c r="A13" s="12" t="s">
        <v>179</v>
      </c>
      <c r="B13" s="12" t="s">
        <v>180</v>
      </c>
      <c r="C13" s="20" t="s">
        <v>849</v>
      </c>
      <c r="D13" s="20" t="s">
        <v>687</v>
      </c>
      <c r="E13" s="20" t="s">
        <v>687</v>
      </c>
      <c r="F13" s="20" t="s">
        <v>687</v>
      </c>
      <c r="G13" s="20" t="s">
        <v>849</v>
      </c>
      <c r="H13" s="20" t="s">
        <v>849</v>
      </c>
      <c r="I13" s="20" t="s">
        <v>849</v>
      </c>
      <c r="J13" s="20" t="s">
        <v>849</v>
      </c>
      <c r="K13" s="20" t="s">
        <v>849</v>
      </c>
      <c r="L13" s="20" t="s">
        <v>687</v>
      </c>
      <c r="M13" s="20" t="s">
        <v>686</v>
      </c>
      <c r="N13" s="20" t="s">
        <v>693</v>
      </c>
      <c r="O13" s="2"/>
      <c r="P13" s="2"/>
      <c r="Q13" s="2"/>
      <c r="R13" s="2"/>
      <c r="S13" s="2"/>
      <c r="T13" s="2"/>
      <c r="U13" s="2"/>
      <c r="V13" s="2"/>
      <c r="W13" s="2"/>
      <c r="X13" s="2"/>
      <c r="Y13" s="2"/>
      <c r="Z13" s="2"/>
    </row>
    <row r="14" customFormat="false" ht="42" hidden="false" customHeight="true" outlineLevel="0" collapsed="false">
      <c r="A14" s="12" t="s">
        <v>190</v>
      </c>
      <c r="B14" s="12" t="s">
        <v>191</v>
      </c>
      <c r="C14" s="20" t="s">
        <v>849</v>
      </c>
      <c r="D14" s="20" t="s">
        <v>687</v>
      </c>
      <c r="E14" s="20" t="s">
        <v>687</v>
      </c>
      <c r="F14" s="20" t="s">
        <v>687</v>
      </c>
      <c r="G14" s="20" t="s">
        <v>849</v>
      </c>
      <c r="H14" s="20" t="s">
        <v>849</v>
      </c>
      <c r="I14" s="20" t="s">
        <v>849</v>
      </c>
      <c r="J14" s="20" t="s">
        <v>849</v>
      </c>
      <c r="K14" s="20" t="s">
        <v>849</v>
      </c>
      <c r="L14" s="20" t="s">
        <v>687</v>
      </c>
      <c r="M14" s="20" t="s">
        <v>686</v>
      </c>
      <c r="N14" s="20"/>
      <c r="O14" s="2"/>
      <c r="P14" s="2"/>
      <c r="Q14" s="2"/>
      <c r="R14" s="2"/>
      <c r="S14" s="2"/>
      <c r="T14" s="2"/>
      <c r="U14" s="2"/>
      <c r="V14" s="2"/>
      <c r="W14" s="2"/>
      <c r="X14" s="2"/>
      <c r="Y14" s="2"/>
      <c r="Z14" s="2"/>
    </row>
    <row r="15" customFormat="false" ht="42" hidden="false" customHeight="true" outlineLevel="0" collapsed="false">
      <c r="A15" s="12" t="s">
        <v>200</v>
      </c>
      <c r="B15" s="12" t="s">
        <v>201</v>
      </c>
      <c r="C15" s="20" t="s">
        <v>849</v>
      </c>
      <c r="D15" s="20" t="s">
        <v>687</v>
      </c>
      <c r="E15" s="20" t="s">
        <v>687</v>
      </c>
      <c r="F15" s="20" t="s">
        <v>687</v>
      </c>
      <c r="G15" s="20" t="s">
        <v>849</v>
      </c>
      <c r="H15" s="20" t="s">
        <v>849</v>
      </c>
      <c r="I15" s="20" t="s">
        <v>849</v>
      </c>
      <c r="J15" s="20" t="s">
        <v>849</v>
      </c>
      <c r="K15" s="20" t="s">
        <v>849</v>
      </c>
      <c r="L15" s="20" t="s">
        <v>687</v>
      </c>
      <c r="M15" s="20" t="s">
        <v>686</v>
      </c>
      <c r="N15" s="20" t="s">
        <v>695</v>
      </c>
      <c r="O15" s="2"/>
      <c r="P15" s="2"/>
      <c r="Q15" s="2"/>
      <c r="R15" s="2"/>
      <c r="S15" s="2"/>
      <c r="T15" s="2"/>
      <c r="U15" s="2"/>
      <c r="V15" s="2"/>
      <c r="W15" s="2"/>
      <c r="X15" s="2"/>
      <c r="Y15" s="2"/>
      <c r="Z15" s="2"/>
    </row>
    <row r="16" customFormat="false" ht="42" hidden="false" customHeight="true" outlineLevel="0" collapsed="false">
      <c r="A16" s="12" t="s">
        <v>208</v>
      </c>
      <c r="B16" s="12" t="s">
        <v>209</v>
      </c>
      <c r="C16" s="20" t="s">
        <v>686</v>
      </c>
      <c r="D16" s="20" t="s">
        <v>687</v>
      </c>
      <c r="E16" s="20" t="s">
        <v>687</v>
      </c>
      <c r="F16" s="20" t="s">
        <v>687</v>
      </c>
      <c r="G16" s="20" t="s">
        <v>849</v>
      </c>
      <c r="H16" s="20" t="s">
        <v>849</v>
      </c>
      <c r="I16" s="20" t="s">
        <v>849</v>
      </c>
      <c r="J16" s="20" t="s">
        <v>849</v>
      </c>
      <c r="K16" s="20" t="s">
        <v>849</v>
      </c>
      <c r="L16" s="20" t="s">
        <v>849</v>
      </c>
      <c r="M16" s="20" t="s">
        <v>686</v>
      </c>
      <c r="N16" s="20"/>
      <c r="O16" s="2"/>
      <c r="P16" s="2"/>
      <c r="Q16" s="2"/>
      <c r="R16" s="2"/>
      <c r="S16" s="2"/>
      <c r="T16" s="2"/>
      <c r="U16" s="2"/>
      <c r="V16" s="2"/>
      <c r="W16" s="2"/>
      <c r="X16" s="2"/>
      <c r="Y16" s="2"/>
      <c r="Z16" s="2"/>
    </row>
    <row r="17" customFormat="false" ht="42" hidden="false" customHeight="true" outlineLevel="0" collapsed="false">
      <c r="A17" s="12" t="s">
        <v>219</v>
      </c>
      <c r="B17" s="12" t="s">
        <v>220</v>
      </c>
      <c r="C17" s="20" t="s">
        <v>686</v>
      </c>
      <c r="D17" s="20" t="s">
        <v>687</v>
      </c>
      <c r="E17" s="20" t="s">
        <v>687</v>
      </c>
      <c r="F17" s="20" t="s">
        <v>687</v>
      </c>
      <c r="G17" s="20" t="s">
        <v>849</v>
      </c>
      <c r="H17" s="20" t="s">
        <v>849</v>
      </c>
      <c r="I17" s="20" t="s">
        <v>849</v>
      </c>
      <c r="J17" s="20" t="s">
        <v>849</v>
      </c>
      <c r="K17" s="20" t="s">
        <v>849</v>
      </c>
      <c r="L17" s="20" t="s">
        <v>849</v>
      </c>
      <c r="M17" s="20" t="s">
        <v>686</v>
      </c>
      <c r="N17" s="20"/>
      <c r="O17" s="2"/>
      <c r="P17" s="2"/>
      <c r="Q17" s="2"/>
      <c r="R17" s="2"/>
      <c r="S17" s="2"/>
      <c r="T17" s="2"/>
      <c r="U17" s="2"/>
      <c r="V17" s="2"/>
      <c r="W17" s="2"/>
      <c r="X17" s="2"/>
      <c r="Y17" s="2"/>
      <c r="Z17" s="2"/>
    </row>
    <row r="18" customFormat="false" ht="42" hidden="false" customHeight="true" outlineLevel="0" collapsed="false">
      <c r="A18" s="12" t="s">
        <v>230</v>
      </c>
      <c r="B18" s="12" t="s">
        <v>231</v>
      </c>
      <c r="C18" s="20" t="s">
        <v>686</v>
      </c>
      <c r="D18" s="20" t="s">
        <v>687</v>
      </c>
      <c r="E18" s="20" t="s">
        <v>687</v>
      </c>
      <c r="F18" s="20" t="s">
        <v>687</v>
      </c>
      <c r="G18" s="20" t="s">
        <v>849</v>
      </c>
      <c r="H18" s="20" t="s">
        <v>849</v>
      </c>
      <c r="I18" s="20" t="s">
        <v>849</v>
      </c>
      <c r="J18" s="20" t="s">
        <v>849</v>
      </c>
      <c r="K18" s="20" t="s">
        <v>849</v>
      </c>
      <c r="L18" s="20" t="s">
        <v>849</v>
      </c>
      <c r="M18" s="20" t="s">
        <v>686</v>
      </c>
      <c r="N18" s="20"/>
      <c r="O18" s="2"/>
      <c r="P18" s="2"/>
      <c r="Q18" s="2"/>
      <c r="R18" s="2"/>
      <c r="S18" s="2"/>
      <c r="T18" s="2"/>
      <c r="U18" s="2"/>
      <c r="V18" s="2"/>
      <c r="W18" s="2"/>
      <c r="X18" s="2"/>
      <c r="Y18" s="2"/>
      <c r="Z18" s="2"/>
    </row>
    <row r="19" customFormat="false" ht="42" hidden="false" customHeight="true" outlineLevel="0" collapsed="false">
      <c r="A19" s="12" t="s">
        <v>241</v>
      </c>
      <c r="B19" s="12" t="s">
        <v>242</v>
      </c>
      <c r="C19" s="20" t="s">
        <v>686</v>
      </c>
      <c r="D19" s="20" t="s">
        <v>687</v>
      </c>
      <c r="E19" s="20" t="s">
        <v>687</v>
      </c>
      <c r="F19" s="20" t="s">
        <v>687</v>
      </c>
      <c r="G19" s="20" t="s">
        <v>849</v>
      </c>
      <c r="H19" s="20" t="s">
        <v>849</v>
      </c>
      <c r="I19" s="20" t="s">
        <v>849</v>
      </c>
      <c r="J19" s="20" t="s">
        <v>849</v>
      </c>
      <c r="K19" s="20" t="s">
        <v>849</v>
      </c>
      <c r="L19" s="20" t="s">
        <v>849</v>
      </c>
      <c r="M19" s="20" t="s">
        <v>686</v>
      </c>
      <c r="N19" s="20"/>
      <c r="O19" s="2"/>
      <c r="P19" s="2"/>
      <c r="Q19" s="2"/>
      <c r="R19" s="2"/>
      <c r="S19" s="2"/>
      <c r="T19" s="2"/>
      <c r="U19" s="2"/>
      <c r="V19" s="2"/>
      <c r="W19" s="2"/>
      <c r="X19" s="2"/>
      <c r="Y19" s="2"/>
      <c r="Z19" s="2"/>
    </row>
    <row r="20" customFormat="false" ht="42" hidden="false" customHeight="true" outlineLevel="0" collapsed="false">
      <c r="A20" s="12" t="s">
        <v>252</v>
      </c>
      <c r="B20" s="12" t="s">
        <v>253</v>
      </c>
      <c r="C20" s="20" t="s">
        <v>686</v>
      </c>
      <c r="D20" s="20" t="s">
        <v>687</v>
      </c>
      <c r="E20" s="20" t="s">
        <v>687</v>
      </c>
      <c r="F20" s="20" t="s">
        <v>687</v>
      </c>
      <c r="G20" s="20" t="s">
        <v>849</v>
      </c>
      <c r="H20" s="20" t="s">
        <v>849</v>
      </c>
      <c r="I20" s="20" t="s">
        <v>849</v>
      </c>
      <c r="J20" s="20" t="s">
        <v>849</v>
      </c>
      <c r="K20" s="20" t="s">
        <v>849</v>
      </c>
      <c r="L20" s="20" t="s">
        <v>849</v>
      </c>
      <c r="M20" s="20" t="s">
        <v>686</v>
      </c>
      <c r="N20" s="20"/>
      <c r="O20" s="2"/>
      <c r="P20" s="2"/>
      <c r="Q20" s="2"/>
      <c r="R20" s="2"/>
      <c r="S20" s="2"/>
      <c r="T20" s="2"/>
      <c r="U20" s="2"/>
      <c r="V20" s="2"/>
      <c r="W20" s="2"/>
      <c r="X20" s="2"/>
      <c r="Y20" s="2"/>
      <c r="Z20" s="2"/>
    </row>
    <row r="21" customFormat="false" ht="42" hidden="false" customHeight="true" outlineLevel="0" collapsed="false">
      <c r="A21" s="12" t="s">
        <v>263</v>
      </c>
      <c r="B21" s="12" t="s">
        <v>264</v>
      </c>
      <c r="C21" s="20" t="s">
        <v>686</v>
      </c>
      <c r="D21" s="20" t="s">
        <v>687</v>
      </c>
      <c r="E21" s="20" t="s">
        <v>687</v>
      </c>
      <c r="F21" s="20" t="s">
        <v>687</v>
      </c>
      <c r="G21" s="20" t="s">
        <v>849</v>
      </c>
      <c r="H21" s="20" t="s">
        <v>849</v>
      </c>
      <c r="I21" s="20" t="s">
        <v>849</v>
      </c>
      <c r="J21" s="20" t="s">
        <v>849</v>
      </c>
      <c r="K21" s="20" t="s">
        <v>849</v>
      </c>
      <c r="L21" s="20" t="s">
        <v>849</v>
      </c>
      <c r="M21" s="20" t="s">
        <v>686</v>
      </c>
      <c r="N21" s="20"/>
      <c r="O21" s="2"/>
      <c r="P21" s="2"/>
      <c r="Q21" s="2"/>
      <c r="R21" s="2"/>
      <c r="S21" s="2"/>
      <c r="T21" s="2"/>
      <c r="U21" s="2"/>
      <c r="V21" s="2"/>
      <c r="W21" s="2"/>
      <c r="X21" s="2"/>
      <c r="Y21" s="2"/>
      <c r="Z21" s="2"/>
    </row>
    <row r="22" customFormat="false" ht="42" hidden="false" customHeight="true" outlineLevel="0" collapsed="false">
      <c r="A22" s="12" t="s">
        <v>274</v>
      </c>
      <c r="B22" s="12" t="s">
        <v>275</v>
      </c>
      <c r="C22" s="20" t="s">
        <v>686</v>
      </c>
      <c r="D22" s="20" t="s">
        <v>687</v>
      </c>
      <c r="E22" s="20" t="s">
        <v>687</v>
      </c>
      <c r="F22" s="20" t="s">
        <v>687</v>
      </c>
      <c r="G22" s="20" t="s">
        <v>849</v>
      </c>
      <c r="H22" s="20" t="s">
        <v>849</v>
      </c>
      <c r="I22" s="20" t="s">
        <v>849</v>
      </c>
      <c r="J22" s="20" t="s">
        <v>849</v>
      </c>
      <c r="K22" s="20" t="s">
        <v>849</v>
      </c>
      <c r="L22" s="20" t="s">
        <v>849</v>
      </c>
      <c r="M22" s="20" t="s">
        <v>686</v>
      </c>
      <c r="N22" s="20"/>
      <c r="O22" s="2"/>
      <c r="P22" s="2"/>
      <c r="Q22" s="2"/>
      <c r="R22" s="2"/>
      <c r="S22" s="2"/>
      <c r="T22" s="2"/>
      <c r="U22" s="2"/>
      <c r="V22" s="2"/>
      <c r="W22" s="2"/>
      <c r="X22" s="2"/>
      <c r="Y22" s="2"/>
      <c r="Z22" s="2"/>
    </row>
    <row r="23" customFormat="false" ht="42" hidden="false" customHeight="true" outlineLevel="0" collapsed="false">
      <c r="A23" s="12" t="s">
        <v>285</v>
      </c>
      <c r="B23" s="12" t="s">
        <v>286</v>
      </c>
      <c r="C23" s="20" t="s">
        <v>686</v>
      </c>
      <c r="D23" s="20" t="s">
        <v>687</v>
      </c>
      <c r="E23" s="20" t="s">
        <v>687</v>
      </c>
      <c r="F23" s="20" t="s">
        <v>687</v>
      </c>
      <c r="G23" s="20" t="s">
        <v>849</v>
      </c>
      <c r="H23" s="20" t="s">
        <v>849</v>
      </c>
      <c r="I23" s="20" t="s">
        <v>849</v>
      </c>
      <c r="J23" s="20" t="s">
        <v>849</v>
      </c>
      <c r="K23" s="20" t="s">
        <v>849</v>
      </c>
      <c r="L23" s="20" t="s">
        <v>849</v>
      </c>
      <c r="M23" s="20" t="s">
        <v>686</v>
      </c>
      <c r="N23" s="20"/>
      <c r="O23" s="2"/>
      <c r="P23" s="2"/>
      <c r="Q23" s="2"/>
      <c r="R23" s="2"/>
      <c r="S23" s="2"/>
      <c r="T23" s="2"/>
      <c r="U23" s="2"/>
      <c r="V23" s="2"/>
      <c r="W23" s="2"/>
      <c r="X23" s="2"/>
      <c r="Y23" s="2"/>
      <c r="Z23" s="2"/>
    </row>
    <row r="24" customFormat="false" ht="42" hidden="false" customHeight="true" outlineLevel="0" collapsed="false">
      <c r="A24" s="12" t="s">
        <v>296</v>
      </c>
      <c r="B24" s="12" t="s">
        <v>297</v>
      </c>
      <c r="C24" s="20" t="s">
        <v>686</v>
      </c>
      <c r="D24" s="20" t="s">
        <v>686</v>
      </c>
      <c r="E24" s="20" t="s">
        <v>686</v>
      </c>
      <c r="F24" s="20" t="s">
        <v>687</v>
      </c>
      <c r="G24" s="20" t="s">
        <v>849</v>
      </c>
      <c r="H24" s="20" t="s">
        <v>849</v>
      </c>
      <c r="I24" s="20" t="s">
        <v>849</v>
      </c>
      <c r="J24" s="20" t="s">
        <v>849</v>
      </c>
      <c r="K24" s="20" t="s">
        <v>849</v>
      </c>
      <c r="L24" s="20" t="s">
        <v>849</v>
      </c>
      <c r="M24" s="20" t="s">
        <v>686</v>
      </c>
      <c r="N24" s="20"/>
      <c r="O24" s="2"/>
      <c r="P24" s="2"/>
      <c r="Q24" s="2"/>
      <c r="R24" s="2"/>
      <c r="S24" s="2"/>
      <c r="T24" s="2"/>
      <c r="U24" s="2"/>
      <c r="V24" s="2"/>
      <c r="W24" s="2"/>
      <c r="X24" s="2"/>
      <c r="Y24" s="2"/>
      <c r="Z24" s="2"/>
    </row>
    <row r="25" customFormat="false" ht="42" hidden="false" customHeight="true" outlineLevel="0" collapsed="false">
      <c r="A25" s="12" t="s">
        <v>306</v>
      </c>
      <c r="B25" s="12" t="s">
        <v>307</v>
      </c>
      <c r="C25" s="20" t="s">
        <v>686</v>
      </c>
      <c r="D25" s="20" t="s">
        <v>686</v>
      </c>
      <c r="E25" s="20" t="s">
        <v>686</v>
      </c>
      <c r="F25" s="20" t="s">
        <v>687</v>
      </c>
      <c r="G25" s="20" t="s">
        <v>849</v>
      </c>
      <c r="H25" s="20" t="s">
        <v>849</v>
      </c>
      <c r="I25" s="20" t="s">
        <v>849</v>
      </c>
      <c r="J25" s="20" t="s">
        <v>849</v>
      </c>
      <c r="K25" s="20" t="s">
        <v>849</v>
      </c>
      <c r="L25" s="20" t="s">
        <v>849</v>
      </c>
      <c r="M25" s="20" t="s">
        <v>686</v>
      </c>
      <c r="N25" s="20"/>
      <c r="O25" s="2"/>
      <c r="P25" s="2"/>
      <c r="Q25" s="2"/>
      <c r="R25" s="2"/>
      <c r="S25" s="2"/>
      <c r="T25" s="2"/>
      <c r="U25" s="2"/>
      <c r="V25" s="2"/>
      <c r="W25" s="2"/>
      <c r="X25" s="2"/>
      <c r="Y25" s="2"/>
      <c r="Z25" s="2"/>
    </row>
    <row r="26" customFormat="false" ht="42" hidden="false" customHeight="true" outlineLevel="0" collapsed="false">
      <c r="A26" s="12" t="s">
        <v>316</v>
      </c>
      <c r="B26" s="12" t="s">
        <v>317</v>
      </c>
      <c r="C26" s="20" t="s">
        <v>686</v>
      </c>
      <c r="D26" s="20" t="s">
        <v>687</v>
      </c>
      <c r="E26" s="20" t="s">
        <v>687</v>
      </c>
      <c r="F26" s="20" t="s">
        <v>686</v>
      </c>
      <c r="G26" s="20" t="s">
        <v>849</v>
      </c>
      <c r="H26" s="20" t="s">
        <v>849</v>
      </c>
      <c r="I26" s="20" t="s">
        <v>849</v>
      </c>
      <c r="J26" s="20" t="s">
        <v>849</v>
      </c>
      <c r="K26" s="20" t="s">
        <v>849</v>
      </c>
      <c r="L26" s="20" t="s">
        <v>849</v>
      </c>
      <c r="M26" s="20" t="s">
        <v>686</v>
      </c>
      <c r="N26" s="20"/>
      <c r="O26" s="2"/>
      <c r="P26" s="2"/>
      <c r="Q26" s="2"/>
      <c r="R26" s="2"/>
      <c r="S26" s="2"/>
      <c r="T26" s="2"/>
      <c r="U26" s="2"/>
      <c r="V26" s="2"/>
      <c r="W26" s="2"/>
      <c r="X26" s="2"/>
      <c r="Y26" s="2"/>
      <c r="Z26" s="2"/>
    </row>
    <row r="27" customFormat="false" ht="42" hidden="false" customHeight="true" outlineLevel="0" collapsed="false">
      <c r="A27" s="12" t="s">
        <v>325</v>
      </c>
      <c r="B27" s="12" t="s">
        <v>326</v>
      </c>
      <c r="C27" s="20" t="s">
        <v>686</v>
      </c>
      <c r="D27" s="20" t="s">
        <v>686</v>
      </c>
      <c r="E27" s="20" t="s">
        <v>686</v>
      </c>
      <c r="F27" s="20" t="s">
        <v>686</v>
      </c>
      <c r="G27" s="20" t="s">
        <v>849</v>
      </c>
      <c r="H27" s="20" t="s">
        <v>849</v>
      </c>
      <c r="I27" s="20" t="s">
        <v>849</v>
      </c>
      <c r="J27" s="20" t="s">
        <v>849</v>
      </c>
      <c r="K27" s="20" t="s">
        <v>849</v>
      </c>
      <c r="L27" s="20" t="s">
        <v>849</v>
      </c>
      <c r="M27" s="20" t="s">
        <v>686</v>
      </c>
      <c r="N27" s="20"/>
      <c r="O27" s="2"/>
      <c r="P27" s="2"/>
      <c r="Q27" s="2"/>
      <c r="R27" s="2"/>
      <c r="S27" s="2"/>
      <c r="T27" s="2"/>
      <c r="U27" s="2"/>
      <c r="V27" s="2"/>
      <c r="W27" s="2"/>
      <c r="X27" s="2"/>
      <c r="Y27" s="2"/>
      <c r="Z27" s="2"/>
    </row>
    <row r="28" customFormat="false" ht="42" hidden="false" customHeight="true" outlineLevel="0" collapsed="false">
      <c r="A28" s="12" t="s">
        <v>334</v>
      </c>
      <c r="B28" s="12" t="s">
        <v>335</v>
      </c>
      <c r="C28" s="20" t="s">
        <v>686</v>
      </c>
      <c r="D28" s="20" t="s">
        <v>686</v>
      </c>
      <c r="E28" s="20" t="s">
        <v>686</v>
      </c>
      <c r="F28" s="20" t="s">
        <v>686</v>
      </c>
      <c r="G28" s="20" t="s">
        <v>849</v>
      </c>
      <c r="H28" s="20" t="s">
        <v>849</v>
      </c>
      <c r="I28" s="20" t="s">
        <v>849</v>
      </c>
      <c r="J28" s="20" t="s">
        <v>849</v>
      </c>
      <c r="K28" s="20" t="s">
        <v>849</v>
      </c>
      <c r="L28" s="20" t="s">
        <v>849</v>
      </c>
      <c r="M28" s="20" t="s">
        <v>686</v>
      </c>
      <c r="N28" s="20"/>
      <c r="O28" s="2"/>
      <c r="P28" s="2"/>
      <c r="Q28" s="2"/>
      <c r="R28" s="2"/>
      <c r="S28" s="2"/>
      <c r="T28" s="2"/>
      <c r="U28" s="2"/>
      <c r="V28" s="2"/>
      <c r="W28" s="2"/>
      <c r="X28" s="2"/>
      <c r="Y28" s="2"/>
      <c r="Z28" s="2"/>
    </row>
    <row r="29" customFormat="false" ht="42" hidden="false" customHeight="true" outlineLevel="0" collapsed="false">
      <c r="A29" s="12" t="s">
        <v>345</v>
      </c>
      <c r="B29" s="12" t="s">
        <v>346</v>
      </c>
      <c r="C29" s="20" t="s">
        <v>686</v>
      </c>
      <c r="D29" s="20" t="s">
        <v>686</v>
      </c>
      <c r="E29" s="20" t="s">
        <v>686</v>
      </c>
      <c r="F29" s="20" t="s">
        <v>686</v>
      </c>
      <c r="G29" s="20" t="s">
        <v>849</v>
      </c>
      <c r="H29" s="20" t="s">
        <v>849</v>
      </c>
      <c r="I29" s="20" t="s">
        <v>849</v>
      </c>
      <c r="J29" s="20" t="s">
        <v>849</v>
      </c>
      <c r="K29" s="20" t="s">
        <v>849</v>
      </c>
      <c r="L29" s="20" t="s">
        <v>849</v>
      </c>
      <c r="M29" s="20" t="s">
        <v>686</v>
      </c>
      <c r="N29" s="20"/>
      <c r="O29" s="2"/>
      <c r="P29" s="2"/>
      <c r="Q29" s="2"/>
      <c r="R29" s="2"/>
      <c r="S29" s="2"/>
      <c r="T29" s="2"/>
      <c r="U29" s="2"/>
      <c r="V29" s="2"/>
      <c r="W29" s="2"/>
      <c r="X29" s="2"/>
      <c r="Y29" s="2"/>
      <c r="Z29" s="2"/>
    </row>
    <row r="30" customFormat="false" ht="42" hidden="false" customHeight="true" outlineLevel="0" collapsed="false">
      <c r="A30" s="12" t="s">
        <v>355</v>
      </c>
      <c r="B30" s="12" t="s">
        <v>356</v>
      </c>
      <c r="C30" s="20" t="s">
        <v>686</v>
      </c>
      <c r="D30" s="20" t="s">
        <v>686</v>
      </c>
      <c r="E30" s="20" t="s">
        <v>686</v>
      </c>
      <c r="F30" s="20" t="s">
        <v>686</v>
      </c>
      <c r="G30" s="20" t="s">
        <v>849</v>
      </c>
      <c r="H30" s="20" t="s">
        <v>849</v>
      </c>
      <c r="I30" s="20" t="s">
        <v>849</v>
      </c>
      <c r="J30" s="20" t="s">
        <v>849</v>
      </c>
      <c r="K30" s="20" t="s">
        <v>849</v>
      </c>
      <c r="L30" s="20" t="s">
        <v>849</v>
      </c>
      <c r="M30" s="20" t="s">
        <v>686</v>
      </c>
      <c r="N30" s="20"/>
      <c r="O30" s="2"/>
      <c r="P30" s="2"/>
      <c r="Q30" s="2"/>
      <c r="R30" s="2"/>
      <c r="S30" s="2"/>
      <c r="T30" s="2"/>
      <c r="U30" s="2"/>
      <c r="V30" s="2"/>
      <c r="W30" s="2"/>
      <c r="X30" s="2"/>
      <c r="Y30" s="2"/>
      <c r="Z30" s="2"/>
    </row>
    <row r="31" customFormat="false" ht="42" hidden="false" customHeight="true" outlineLevel="0" collapsed="false">
      <c r="A31" s="12" t="s">
        <v>362</v>
      </c>
      <c r="B31" s="12" t="s">
        <v>363</v>
      </c>
      <c r="C31" s="20" t="s">
        <v>686</v>
      </c>
      <c r="D31" s="20" t="s">
        <v>686</v>
      </c>
      <c r="E31" s="20" t="s">
        <v>686</v>
      </c>
      <c r="F31" s="20" t="s">
        <v>686</v>
      </c>
      <c r="G31" s="20" t="s">
        <v>849</v>
      </c>
      <c r="H31" s="20" t="s">
        <v>849</v>
      </c>
      <c r="I31" s="20" t="s">
        <v>849</v>
      </c>
      <c r="J31" s="20" t="s">
        <v>849</v>
      </c>
      <c r="K31" s="20" t="s">
        <v>849</v>
      </c>
      <c r="L31" s="20" t="s">
        <v>849</v>
      </c>
      <c r="M31" s="20" t="s">
        <v>686</v>
      </c>
      <c r="N31" s="20"/>
      <c r="O31" s="2"/>
      <c r="P31" s="2"/>
      <c r="Q31" s="2"/>
      <c r="R31" s="2"/>
      <c r="S31" s="2"/>
      <c r="T31" s="2"/>
      <c r="U31" s="2"/>
      <c r="V31" s="2"/>
      <c r="W31" s="2"/>
      <c r="X31" s="2"/>
      <c r="Y31" s="2"/>
      <c r="Z31" s="2"/>
    </row>
    <row r="32" customFormat="false" ht="42" hidden="false" customHeight="true" outlineLevel="0" collapsed="false">
      <c r="A32" s="12" t="s">
        <v>369</v>
      </c>
      <c r="B32" s="12" t="s">
        <v>370</v>
      </c>
      <c r="C32" s="20" t="s">
        <v>686</v>
      </c>
      <c r="D32" s="20" t="s">
        <v>686</v>
      </c>
      <c r="E32" s="20" t="s">
        <v>686</v>
      </c>
      <c r="F32" s="20" t="s">
        <v>686</v>
      </c>
      <c r="G32" s="20" t="s">
        <v>849</v>
      </c>
      <c r="H32" s="20" t="s">
        <v>849</v>
      </c>
      <c r="I32" s="20" t="s">
        <v>849</v>
      </c>
      <c r="J32" s="20" t="s">
        <v>849</v>
      </c>
      <c r="K32" s="20" t="s">
        <v>849</v>
      </c>
      <c r="L32" s="20" t="s">
        <v>849</v>
      </c>
      <c r="M32" s="20" t="s">
        <v>686</v>
      </c>
      <c r="N32" s="20"/>
      <c r="O32" s="2"/>
      <c r="P32" s="2"/>
      <c r="Q32" s="2"/>
      <c r="R32" s="2"/>
      <c r="S32" s="2"/>
      <c r="T32" s="2"/>
      <c r="U32" s="2"/>
      <c r="V32" s="2"/>
      <c r="W32" s="2"/>
      <c r="X32" s="2"/>
      <c r="Y32" s="2"/>
      <c r="Z32" s="2"/>
    </row>
    <row r="33" customFormat="false" ht="42" hidden="false" customHeight="true" outlineLevel="0" collapsed="false">
      <c r="A33" s="12" t="s">
        <v>378</v>
      </c>
      <c r="B33" s="12" t="s">
        <v>379</v>
      </c>
      <c r="C33" s="20" t="s">
        <v>686</v>
      </c>
      <c r="D33" s="20" t="s">
        <v>687</v>
      </c>
      <c r="E33" s="20" t="s">
        <v>687</v>
      </c>
      <c r="F33" s="20" t="s">
        <v>686</v>
      </c>
      <c r="G33" s="20" t="s">
        <v>849</v>
      </c>
      <c r="H33" s="20" t="s">
        <v>849</v>
      </c>
      <c r="I33" s="20" t="s">
        <v>849</v>
      </c>
      <c r="J33" s="20" t="s">
        <v>849</v>
      </c>
      <c r="K33" s="20" t="s">
        <v>849</v>
      </c>
      <c r="L33" s="20" t="s">
        <v>849</v>
      </c>
      <c r="M33" s="20" t="s">
        <v>686</v>
      </c>
      <c r="N33" s="20"/>
      <c r="O33" s="2"/>
      <c r="P33" s="2"/>
      <c r="Q33" s="2"/>
      <c r="R33" s="2"/>
      <c r="S33" s="2"/>
      <c r="T33" s="2"/>
      <c r="U33" s="2"/>
      <c r="V33" s="2"/>
      <c r="W33" s="2"/>
      <c r="X33" s="2"/>
      <c r="Y33" s="2"/>
      <c r="Z33" s="2"/>
    </row>
    <row r="34" customFormat="false" ht="42" hidden="false" customHeight="true" outlineLevel="0" collapsed="false">
      <c r="A34" s="12" t="s">
        <v>387</v>
      </c>
      <c r="B34" s="12" t="s">
        <v>388</v>
      </c>
      <c r="C34" s="20" t="s">
        <v>686</v>
      </c>
      <c r="D34" s="20" t="s">
        <v>686</v>
      </c>
      <c r="E34" s="20" t="s">
        <v>686</v>
      </c>
      <c r="F34" s="20" t="s">
        <v>686</v>
      </c>
      <c r="G34" s="20" t="s">
        <v>849</v>
      </c>
      <c r="H34" s="20" t="s">
        <v>849</v>
      </c>
      <c r="I34" s="20" t="s">
        <v>849</v>
      </c>
      <c r="J34" s="20" t="s">
        <v>849</v>
      </c>
      <c r="K34" s="20" t="s">
        <v>849</v>
      </c>
      <c r="L34" s="20" t="s">
        <v>849</v>
      </c>
      <c r="M34" s="20" t="s">
        <v>686</v>
      </c>
      <c r="N34" s="20"/>
      <c r="O34" s="2"/>
      <c r="P34" s="2"/>
      <c r="Q34" s="2"/>
      <c r="R34" s="2"/>
      <c r="S34" s="2"/>
      <c r="T34" s="2"/>
      <c r="U34" s="2"/>
      <c r="V34" s="2"/>
      <c r="W34" s="2"/>
      <c r="X34" s="2"/>
      <c r="Y34" s="2"/>
      <c r="Z34" s="2"/>
    </row>
    <row r="35" customFormat="false" ht="42" hidden="false" customHeight="true" outlineLevel="0" collapsed="false">
      <c r="A35" s="12" t="s">
        <v>396</v>
      </c>
      <c r="B35" s="12" t="s">
        <v>397</v>
      </c>
      <c r="C35" s="20" t="s">
        <v>686</v>
      </c>
      <c r="D35" s="20" t="s">
        <v>686</v>
      </c>
      <c r="E35" s="20" t="s">
        <v>686</v>
      </c>
      <c r="F35" s="20" t="s">
        <v>686</v>
      </c>
      <c r="G35" s="20" t="s">
        <v>849</v>
      </c>
      <c r="H35" s="20" t="s">
        <v>849</v>
      </c>
      <c r="I35" s="20" t="s">
        <v>849</v>
      </c>
      <c r="J35" s="20" t="s">
        <v>849</v>
      </c>
      <c r="K35" s="20" t="s">
        <v>849</v>
      </c>
      <c r="L35" s="20" t="s">
        <v>849</v>
      </c>
      <c r="M35" s="20" t="s">
        <v>686</v>
      </c>
      <c r="N35" s="20"/>
      <c r="O35" s="2"/>
      <c r="P35" s="2"/>
      <c r="Q35" s="2"/>
      <c r="R35" s="2"/>
      <c r="S35" s="2"/>
      <c r="T35" s="2"/>
      <c r="U35" s="2"/>
      <c r="V35" s="2"/>
      <c r="W35" s="2"/>
      <c r="X35" s="2"/>
      <c r="Y35" s="2"/>
      <c r="Z35" s="2"/>
    </row>
    <row r="36" customFormat="false" ht="42" hidden="false" customHeight="true" outlineLevel="0" collapsed="false">
      <c r="A36" s="12" t="s">
        <v>407</v>
      </c>
      <c r="B36" s="12" t="s">
        <v>408</v>
      </c>
      <c r="C36" s="20" t="s">
        <v>686</v>
      </c>
      <c r="D36" s="20" t="s">
        <v>687</v>
      </c>
      <c r="E36" s="20" t="s">
        <v>687</v>
      </c>
      <c r="F36" s="20" t="s">
        <v>687</v>
      </c>
      <c r="G36" s="20" t="s">
        <v>849</v>
      </c>
      <c r="H36" s="20" t="s">
        <v>849</v>
      </c>
      <c r="I36" s="20" t="s">
        <v>849</v>
      </c>
      <c r="J36" s="20" t="s">
        <v>849</v>
      </c>
      <c r="K36" s="20" t="s">
        <v>849</v>
      </c>
      <c r="L36" s="20" t="s">
        <v>849</v>
      </c>
      <c r="M36" s="20" t="s">
        <v>686</v>
      </c>
      <c r="N36" s="20" t="s">
        <v>709</v>
      </c>
      <c r="O36" s="2"/>
      <c r="P36" s="2"/>
      <c r="Q36" s="2"/>
      <c r="R36" s="2"/>
      <c r="S36" s="2"/>
      <c r="T36" s="2"/>
      <c r="U36" s="2"/>
      <c r="V36" s="2"/>
      <c r="W36" s="2"/>
      <c r="X36" s="2"/>
      <c r="Y36" s="2"/>
      <c r="Z36" s="2"/>
    </row>
    <row r="37" customFormat="false" ht="42" hidden="false" customHeight="true" outlineLevel="0" collapsed="false">
      <c r="A37" s="12" t="s">
        <v>418</v>
      </c>
      <c r="B37" s="12" t="s">
        <v>419</v>
      </c>
      <c r="C37" s="20" t="s">
        <v>686</v>
      </c>
      <c r="D37" s="20" t="s">
        <v>687</v>
      </c>
      <c r="E37" s="20" t="s">
        <v>687</v>
      </c>
      <c r="F37" s="20" t="s">
        <v>687</v>
      </c>
      <c r="G37" s="20" t="s">
        <v>849</v>
      </c>
      <c r="H37" s="20" t="s">
        <v>849</v>
      </c>
      <c r="I37" s="20" t="s">
        <v>849</v>
      </c>
      <c r="J37" s="20" t="s">
        <v>849</v>
      </c>
      <c r="K37" s="20" t="s">
        <v>849</v>
      </c>
      <c r="L37" s="20" t="s">
        <v>849</v>
      </c>
      <c r="M37" s="20" t="s">
        <v>686</v>
      </c>
      <c r="N37" s="20"/>
      <c r="O37" s="2"/>
      <c r="P37" s="2"/>
      <c r="Q37" s="2"/>
      <c r="R37" s="2"/>
      <c r="S37" s="2"/>
      <c r="T37" s="2"/>
      <c r="U37" s="2"/>
      <c r="V37" s="2"/>
      <c r="W37" s="2"/>
      <c r="X37" s="2"/>
      <c r="Y37" s="2"/>
      <c r="Z37" s="2"/>
    </row>
    <row r="38" customFormat="false" ht="42" hidden="false" customHeight="true" outlineLevel="0" collapsed="false">
      <c r="A38" s="12" t="s">
        <v>429</v>
      </c>
      <c r="B38" s="12" t="s">
        <v>430</v>
      </c>
      <c r="C38" s="20" t="s">
        <v>686</v>
      </c>
      <c r="D38" s="20" t="s">
        <v>687</v>
      </c>
      <c r="E38" s="20" t="s">
        <v>687</v>
      </c>
      <c r="F38" s="20" t="s">
        <v>687</v>
      </c>
      <c r="G38" s="20" t="s">
        <v>849</v>
      </c>
      <c r="H38" s="20" t="s">
        <v>849</v>
      </c>
      <c r="I38" s="20" t="s">
        <v>849</v>
      </c>
      <c r="J38" s="20" t="s">
        <v>849</v>
      </c>
      <c r="K38" s="20" t="s">
        <v>849</v>
      </c>
      <c r="L38" s="20" t="s">
        <v>849</v>
      </c>
      <c r="M38" s="20" t="s">
        <v>686</v>
      </c>
      <c r="N38" s="20"/>
      <c r="O38" s="2"/>
      <c r="P38" s="2"/>
      <c r="Q38" s="2"/>
      <c r="R38" s="2"/>
      <c r="S38" s="2"/>
      <c r="T38" s="2"/>
      <c r="U38" s="2"/>
      <c r="V38" s="2"/>
      <c r="W38" s="2"/>
      <c r="X38" s="2"/>
      <c r="Y38" s="2"/>
      <c r="Z38" s="2"/>
    </row>
    <row r="39" customFormat="false" ht="42" hidden="false" customHeight="true" outlineLevel="0" collapsed="false">
      <c r="A39" s="12" t="s">
        <v>439</v>
      </c>
      <c r="B39" s="12" t="s">
        <v>440</v>
      </c>
      <c r="C39" s="20" t="s">
        <v>686</v>
      </c>
      <c r="D39" s="20" t="s">
        <v>687</v>
      </c>
      <c r="E39" s="20" t="s">
        <v>687</v>
      </c>
      <c r="F39" s="20" t="s">
        <v>687</v>
      </c>
      <c r="G39" s="20" t="s">
        <v>849</v>
      </c>
      <c r="H39" s="20" t="s">
        <v>849</v>
      </c>
      <c r="I39" s="20" t="s">
        <v>849</v>
      </c>
      <c r="J39" s="20" t="s">
        <v>849</v>
      </c>
      <c r="K39" s="20" t="s">
        <v>849</v>
      </c>
      <c r="L39" s="20" t="s">
        <v>849</v>
      </c>
      <c r="M39" s="20" t="s">
        <v>686</v>
      </c>
      <c r="N39" s="20"/>
      <c r="O39" s="2"/>
      <c r="P39" s="2"/>
      <c r="Q39" s="2"/>
      <c r="R39" s="2"/>
      <c r="S39" s="2"/>
      <c r="T39" s="2"/>
      <c r="U39" s="2"/>
      <c r="V39" s="2"/>
      <c r="W39" s="2"/>
      <c r="X39" s="2"/>
      <c r="Y39" s="2"/>
      <c r="Z39" s="2"/>
    </row>
    <row r="40" customFormat="false" ht="42" hidden="false" customHeight="true" outlineLevel="0" collapsed="false">
      <c r="A40" s="12" t="s">
        <v>450</v>
      </c>
      <c r="B40" s="12" t="s">
        <v>451</v>
      </c>
      <c r="C40" s="20" t="s">
        <v>686</v>
      </c>
      <c r="D40" s="20" t="s">
        <v>687</v>
      </c>
      <c r="E40" s="20" t="s">
        <v>687</v>
      </c>
      <c r="F40" s="20" t="s">
        <v>687</v>
      </c>
      <c r="G40" s="20" t="s">
        <v>849</v>
      </c>
      <c r="H40" s="20" t="s">
        <v>849</v>
      </c>
      <c r="I40" s="20" t="s">
        <v>849</v>
      </c>
      <c r="J40" s="20" t="s">
        <v>849</v>
      </c>
      <c r="K40" s="20" t="s">
        <v>849</v>
      </c>
      <c r="L40" s="20" t="s">
        <v>849</v>
      </c>
      <c r="M40" s="20" t="s">
        <v>686</v>
      </c>
      <c r="N40" s="20"/>
      <c r="O40" s="2"/>
      <c r="P40" s="2"/>
      <c r="Q40" s="2"/>
      <c r="R40" s="2"/>
      <c r="S40" s="2"/>
      <c r="T40" s="2"/>
      <c r="U40" s="2"/>
      <c r="V40" s="2"/>
      <c r="W40" s="2"/>
      <c r="X40" s="2"/>
      <c r="Y40" s="2"/>
      <c r="Z40" s="2"/>
    </row>
    <row r="41" customFormat="false" ht="42" hidden="false" customHeight="true" outlineLevel="0" collapsed="false">
      <c r="A41" s="12" t="s">
        <v>461</v>
      </c>
      <c r="B41" s="12" t="s">
        <v>462</v>
      </c>
      <c r="C41" s="20" t="s">
        <v>686</v>
      </c>
      <c r="D41" s="20" t="s">
        <v>687</v>
      </c>
      <c r="E41" s="20" t="s">
        <v>687</v>
      </c>
      <c r="F41" s="20" t="s">
        <v>687</v>
      </c>
      <c r="G41" s="20" t="s">
        <v>849</v>
      </c>
      <c r="H41" s="20" t="s">
        <v>849</v>
      </c>
      <c r="I41" s="20" t="s">
        <v>849</v>
      </c>
      <c r="J41" s="20" t="s">
        <v>849</v>
      </c>
      <c r="K41" s="20" t="s">
        <v>849</v>
      </c>
      <c r="L41" s="20" t="s">
        <v>849</v>
      </c>
      <c r="M41" s="20" t="s">
        <v>686</v>
      </c>
      <c r="N41" s="20"/>
      <c r="O41" s="2"/>
      <c r="P41" s="2"/>
      <c r="Q41" s="2"/>
      <c r="R41" s="2"/>
      <c r="S41" s="2"/>
      <c r="T41" s="2"/>
      <c r="U41" s="2"/>
      <c r="V41" s="2"/>
      <c r="W41" s="2"/>
      <c r="X41" s="2"/>
      <c r="Y41" s="2"/>
      <c r="Z41" s="2"/>
    </row>
    <row r="42" customFormat="false" ht="42" hidden="false" customHeight="true" outlineLevel="0" collapsed="false">
      <c r="A42" s="12" t="s">
        <v>471</v>
      </c>
      <c r="B42" s="12" t="s">
        <v>472</v>
      </c>
      <c r="C42" s="20" t="s">
        <v>849</v>
      </c>
      <c r="D42" s="20" t="s">
        <v>687</v>
      </c>
      <c r="E42" s="20" t="s">
        <v>687</v>
      </c>
      <c r="F42" s="20" t="s">
        <v>687</v>
      </c>
      <c r="G42" s="20" t="s">
        <v>849</v>
      </c>
      <c r="H42" s="20" t="s">
        <v>849</v>
      </c>
      <c r="I42" s="20" t="s">
        <v>849</v>
      </c>
      <c r="J42" s="20" t="s">
        <v>849</v>
      </c>
      <c r="K42" s="20" t="s">
        <v>849</v>
      </c>
      <c r="L42" s="20" t="s">
        <v>687</v>
      </c>
      <c r="M42" s="20" t="s">
        <v>686</v>
      </c>
      <c r="N42" s="20"/>
      <c r="O42" s="2"/>
      <c r="P42" s="2"/>
      <c r="Q42" s="2"/>
      <c r="R42" s="2"/>
      <c r="S42" s="2"/>
      <c r="T42" s="2"/>
      <c r="U42" s="2"/>
      <c r="V42" s="2"/>
      <c r="W42" s="2"/>
      <c r="X42" s="2"/>
      <c r="Y42" s="2"/>
      <c r="Z42" s="2"/>
    </row>
    <row r="43" customFormat="false" ht="42" hidden="false" customHeight="true" outlineLevel="0" collapsed="false">
      <c r="A43" s="12" t="s">
        <v>482</v>
      </c>
      <c r="B43" s="12" t="s">
        <v>483</v>
      </c>
      <c r="C43" s="20" t="s">
        <v>849</v>
      </c>
      <c r="D43" s="20" t="s">
        <v>687</v>
      </c>
      <c r="E43" s="20" t="s">
        <v>687</v>
      </c>
      <c r="F43" s="20" t="s">
        <v>687</v>
      </c>
      <c r="G43" s="20" t="s">
        <v>849</v>
      </c>
      <c r="H43" s="20" t="s">
        <v>849</v>
      </c>
      <c r="I43" s="20" t="s">
        <v>849</v>
      </c>
      <c r="J43" s="20" t="s">
        <v>849</v>
      </c>
      <c r="K43" s="20" t="s">
        <v>849</v>
      </c>
      <c r="L43" s="20" t="s">
        <v>687</v>
      </c>
      <c r="M43" s="20" t="s">
        <v>686</v>
      </c>
      <c r="N43" s="20"/>
      <c r="O43" s="2"/>
      <c r="P43" s="2"/>
      <c r="Q43" s="2"/>
      <c r="R43" s="2"/>
      <c r="S43" s="2"/>
      <c r="T43" s="2"/>
      <c r="U43" s="2"/>
      <c r="V43" s="2"/>
      <c r="W43" s="2"/>
      <c r="X43" s="2"/>
      <c r="Y43" s="2"/>
      <c r="Z43" s="2"/>
    </row>
    <row r="44" customFormat="false" ht="42" hidden="false" customHeight="true" outlineLevel="0" collapsed="false">
      <c r="A44" s="12" t="s">
        <v>493</v>
      </c>
      <c r="B44" s="12" t="s">
        <v>494</v>
      </c>
      <c r="C44" s="20" t="s">
        <v>849</v>
      </c>
      <c r="D44" s="20" t="s">
        <v>687</v>
      </c>
      <c r="E44" s="20" t="s">
        <v>687</v>
      </c>
      <c r="F44" s="20" t="s">
        <v>687</v>
      </c>
      <c r="G44" s="20" t="s">
        <v>849</v>
      </c>
      <c r="H44" s="20" t="s">
        <v>849</v>
      </c>
      <c r="I44" s="20" t="s">
        <v>849</v>
      </c>
      <c r="J44" s="20" t="s">
        <v>849</v>
      </c>
      <c r="K44" s="20" t="s">
        <v>849</v>
      </c>
      <c r="L44" s="20" t="s">
        <v>687</v>
      </c>
      <c r="M44" s="20" t="s">
        <v>686</v>
      </c>
      <c r="N44" s="20" t="s">
        <v>713</v>
      </c>
      <c r="O44" s="2"/>
      <c r="P44" s="2"/>
      <c r="Q44" s="2"/>
      <c r="R44" s="2"/>
      <c r="S44" s="2"/>
      <c r="T44" s="2"/>
      <c r="U44" s="2"/>
      <c r="V44" s="2"/>
      <c r="W44" s="2"/>
      <c r="X44" s="2"/>
      <c r="Y44" s="2"/>
      <c r="Z44" s="2"/>
    </row>
    <row r="45" customFormat="false" ht="42" hidden="false" customHeight="true" outlineLevel="0" collapsed="false">
      <c r="A45" s="12" t="s">
        <v>504</v>
      </c>
      <c r="B45" s="12" t="s">
        <v>505</v>
      </c>
      <c r="C45" s="20" t="s">
        <v>849</v>
      </c>
      <c r="D45" s="20" t="s">
        <v>687</v>
      </c>
      <c r="E45" s="20" t="s">
        <v>687</v>
      </c>
      <c r="F45" s="20" t="s">
        <v>687</v>
      </c>
      <c r="G45" s="20" t="s">
        <v>849</v>
      </c>
      <c r="H45" s="20" t="s">
        <v>849</v>
      </c>
      <c r="I45" s="20" t="s">
        <v>849</v>
      </c>
      <c r="J45" s="20" t="s">
        <v>849</v>
      </c>
      <c r="K45" s="20" t="s">
        <v>849</v>
      </c>
      <c r="L45" s="20" t="s">
        <v>687</v>
      </c>
      <c r="M45" s="20" t="s">
        <v>686</v>
      </c>
      <c r="N45" s="20" t="s">
        <v>713</v>
      </c>
      <c r="O45" s="2"/>
      <c r="P45" s="2"/>
      <c r="Q45" s="2"/>
      <c r="R45" s="2"/>
      <c r="S45" s="2"/>
      <c r="T45" s="2"/>
      <c r="U45" s="2"/>
      <c r="V45" s="2"/>
      <c r="W45" s="2"/>
      <c r="X45" s="2"/>
      <c r="Y45" s="2"/>
      <c r="Z45" s="2"/>
    </row>
    <row r="46" customFormat="false" ht="42" hidden="false" customHeight="true" outlineLevel="0" collapsed="false">
      <c r="A46" s="12" t="s">
        <v>515</v>
      </c>
      <c r="B46" s="12" t="s">
        <v>516</v>
      </c>
      <c r="C46" s="20" t="s">
        <v>849</v>
      </c>
      <c r="D46" s="20" t="s">
        <v>687</v>
      </c>
      <c r="E46" s="20" t="s">
        <v>687</v>
      </c>
      <c r="F46" s="20" t="s">
        <v>687</v>
      </c>
      <c r="G46" s="20" t="s">
        <v>849</v>
      </c>
      <c r="H46" s="20" t="s">
        <v>849</v>
      </c>
      <c r="I46" s="20" t="s">
        <v>849</v>
      </c>
      <c r="J46" s="20" t="s">
        <v>849</v>
      </c>
      <c r="K46" s="20" t="s">
        <v>849</v>
      </c>
      <c r="L46" s="20" t="s">
        <v>687</v>
      </c>
      <c r="M46" s="20" t="s">
        <v>686</v>
      </c>
      <c r="N46" s="20" t="s">
        <v>713</v>
      </c>
      <c r="O46" s="2"/>
      <c r="P46" s="2"/>
      <c r="Q46" s="2"/>
      <c r="R46" s="2"/>
      <c r="S46" s="2"/>
      <c r="T46" s="2"/>
      <c r="U46" s="2"/>
      <c r="V46" s="2"/>
      <c r="W46" s="2"/>
      <c r="X46" s="2"/>
      <c r="Y46" s="2"/>
      <c r="Z46" s="2"/>
    </row>
    <row r="47" customFormat="false" ht="42" hidden="false" customHeight="true" outlineLevel="0" collapsed="false">
      <c r="A47" s="12" t="s">
        <v>526</v>
      </c>
      <c r="B47" s="12" t="s">
        <v>527</v>
      </c>
      <c r="C47" s="20" t="s">
        <v>849</v>
      </c>
      <c r="D47" s="20" t="s">
        <v>687</v>
      </c>
      <c r="E47" s="20" t="s">
        <v>687</v>
      </c>
      <c r="F47" s="20" t="s">
        <v>687</v>
      </c>
      <c r="G47" s="20" t="s">
        <v>849</v>
      </c>
      <c r="H47" s="20" t="s">
        <v>849</v>
      </c>
      <c r="I47" s="20" t="s">
        <v>849</v>
      </c>
      <c r="J47" s="20" t="s">
        <v>849</v>
      </c>
      <c r="K47" s="20" t="s">
        <v>849</v>
      </c>
      <c r="L47" s="20" t="s">
        <v>687</v>
      </c>
      <c r="M47" s="20" t="s">
        <v>686</v>
      </c>
      <c r="N47" s="20" t="s">
        <v>713</v>
      </c>
      <c r="O47" s="2"/>
      <c r="P47" s="2"/>
      <c r="Q47" s="2"/>
      <c r="R47" s="2"/>
      <c r="S47" s="2"/>
      <c r="T47" s="2"/>
      <c r="U47" s="2"/>
      <c r="V47" s="2"/>
      <c r="W47" s="2"/>
      <c r="X47" s="2"/>
      <c r="Y47" s="2"/>
      <c r="Z47" s="2"/>
    </row>
    <row r="48" customFormat="false" ht="42" hidden="false" customHeight="true" outlineLevel="0" collapsed="false">
      <c r="A48" s="12" t="s">
        <v>537</v>
      </c>
      <c r="B48" s="12" t="s">
        <v>538</v>
      </c>
      <c r="C48" s="20" t="s">
        <v>849</v>
      </c>
      <c r="D48" s="20" t="s">
        <v>687</v>
      </c>
      <c r="E48" s="20" t="s">
        <v>687</v>
      </c>
      <c r="F48" s="20" t="s">
        <v>687</v>
      </c>
      <c r="G48" s="20" t="s">
        <v>849</v>
      </c>
      <c r="H48" s="20" t="s">
        <v>849</v>
      </c>
      <c r="I48" s="20" t="s">
        <v>849</v>
      </c>
      <c r="J48" s="20" t="s">
        <v>849</v>
      </c>
      <c r="K48" s="20" t="s">
        <v>849</v>
      </c>
      <c r="L48" s="20" t="s">
        <v>687</v>
      </c>
      <c r="M48" s="20" t="s">
        <v>686</v>
      </c>
      <c r="N48" s="20"/>
      <c r="O48" s="2"/>
      <c r="P48" s="2"/>
      <c r="Q48" s="2"/>
      <c r="R48" s="2"/>
      <c r="S48" s="2"/>
      <c r="T48" s="2"/>
      <c r="U48" s="2"/>
      <c r="V48" s="2"/>
      <c r="W48" s="2"/>
      <c r="X48" s="2"/>
      <c r="Y48" s="2"/>
      <c r="Z48" s="2"/>
    </row>
    <row r="49" customFormat="false" ht="42" hidden="false" customHeight="true" outlineLevel="0" collapsed="false">
      <c r="A49" s="12" t="s">
        <v>548</v>
      </c>
      <c r="B49" s="12" t="s">
        <v>549</v>
      </c>
      <c r="C49" s="20" t="s">
        <v>849</v>
      </c>
      <c r="D49" s="20" t="s">
        <v>687</v>
      </c>
      <c r="E49" s="20" t="s">
        <v>687</v>
      </c>
      <c r="F49" s="20" t="s">
        <v>687</v>
      </c>
      <c r="G49" s="20" t="s">
        <v>849</v>
      </c>
      <c r="H49" s="20" t="s">
        <v>849</v>
      </c>
      <c r="I49" s="20" t="s">
        <v>849</v>
      </c>
      <c r="J49" s="20" t="s">
        <v>849</v>
      </c>
      <c r="K49" s="20" t="s">
        <v>849</v>
      </c>
      <c r="L49" s="20" t="s">
        <v>687</v>
      </c>
      <c r="M49" s="20" t="s">
        <v>686</v>
      </c>
      <c r="N49" s="20"/>
      <c r="O49" s="2"/>
      <c r="P49" s="2"/>
      <c r="Q49" s="2"/>
      <c r="R49" s="2"/>
      <c r="S49" s="2"/>
      <c r="T49" s="2"/>
      <c r="U49" s="2"/>
      <c r="V49" s="2"/>
      <c r="W49" s="2"/>
      <c r="X49" s="2"/>
      <c r="Y49" s="2"/>
      <c r="Z49" s="2"/>
    </row>
    <row r="50" customFormat="false" ht="42" hidden="false" customHeight="true" outlineLevel="0" collapsed="false">
      <c r="A50" s="12" t="s">
        <v>559</v>
      </c>
      <c r="B50" s="12" t="s">
        <v>560</v>
      </c>
      <c r="C50" s="20" t="s">
        <v>849</v>
      </c>
      <c r="D50" s="20" t="s">
        <v>687</v>
      </c>
      <c r="E50" s="20" t="s">
        <v>687</v>
      </c>
      <c r="F50" s="20" t="s">
        <v>687</v>
      </c>
      <c r="G50" s="20" t="s">
        <v>849</v>
      </c>
      <c r="H50" s="20" t="s">
        <v>849</v>
      </c>
      <c r="I50" s="20" t="s">
        <v>849</v>
      </c>
      <c r="J50" s="20" t="s">
        <v>849</v>
      </c>
      <c r="K50" s="20" t="s">
        <v>849</v>
      </c>
      <c r="L50" s="20" t="s">
        <v>687</v>
      </c>
      <c r="M50" s="20" t="s">
        <v>686</v>
      </c>
      <c r="N50" s="20"/>
      <c r="O50" s="2"/>
      <c r="P50" s="2"/>
      <c r="Q50" s="2"/>
      <c r="R50" s="2"/>
      <c r="S50" s="2"/>
      <c r="T50" s="2"/>
      <c r="U50" s="2"/>
      <c r="V50" s="2"/>
      <c r="W50" s="2"/>
      <c r="X50" s="2"/>
      <c r="Y50" s="2"/>
      <c r="Z50" s="2"/>
    </row>
    <row r="51" customFormat="false" ht="42" hidden="false" customHeight="true" outlineLevel="0" collapsed="false">
      <c r="A51" s="12" t="s">
        <v>570</v>
      </c>
      <c r="B51" s="12" t="s">
        <v>571</v>
      </c>
      <c r="C51" s="20" t="s">
        <v>849</v>
      </c>
      <c r="D51" s="20" t="s">
        <v>687</v>
      </c>
      <c r="E51" s="20" t="s">
        <v>687</v>
      </c>
      <c r="F51" s="20" t="s">
        <v>687</v>
      </c>
      <c r="G51" s="20" t="s">
        <v>849</v>
      </c>
      <c r="H51" s="20" t="s">
        <v>849</v>
      </c>
      <c r="I51" s="20" t="s">
        <v>849</v>
      </c>
      <c r="J51" s="20" t="s">
        <v>849</v>
      </c>
      <c r="K51" s="20" t="s">
        <v>849</v>
      </c>
      <c r="L51" s="20" t="s">
        <v>687</v>
      </c>
      <c r="M51" s="20" t="s">
        <v>686</v>
      </c>
      <c r="N51" s="20"/>
      <c r="O51" s="2"/>
      <c r="P51" s="2"/>
      <c r="Q51" s="2"/>
      <c r="R51" s="2"/>
      <c r="S51" s="2"/>
      <c r="T51" s="2"/>
      <c r="U51" s="2"/>
      <c r="V51" s="2"/>
      <c r="W51" s="2"/>
      <c r="X51" s="2"/>
      <c r="Y51" s="2"/>
      <c r="Z51" s="2"/>
    </row>
    <row r="52" customFormat="false" ht="42" hidden="false" customHeight="true" outlineLevel="0" collapsed="false">
      <c r="A52" s="12" t="s">
        <v>581</v>
      </c>
      <c r="B52" s="12" t="s">
        <v>582</v>
      </c>
      <c r="C52" s="20" t="s">
        <v>849</v>
      </c>
      <c r="D52" s="20" t="s">
        <v>687</v>
      </c>
      <c r="E52" s="20" t="s">
        <v>687</v>
      </c>
      <c r="F52" s="20" t="s">
        <v>687</v>
      </c>
      <c r="G52" s="20" t="s">
        <v>849</v>
      </c>
      <c r="H52" s="20" t="s">
        <v>849</v>
      </c>
      <c r="I52" s="20" t="s">
        <v>849</v>
      </c>
      <c r="J52" s="20" t="s">
        <v>849</v>
      </c>
      <c r="K52" s="20" t="s">
        <v>849</v>
      </c>
      <c r="L52" s="20" t="s">
        <v>687</v>
      </c>
      <c r="M52" s="20" t="s">
        <v>686</v>
      </c>
      <c r="N52" s="20"/>
      <c r="O52" s="2"/>
      <c r="P52" s="2"/>
      <c r="Q52" s="2"/>
      <c r="R52" s="2"/>
      <c r="S52" s="2"/>
      <c r="T52" s="2"/>
      <c r="U52" s="2"/>
      <c r="V52" s="2"/>
      <c r="W52" s="2"/>
      <c r="X52" s="2"/>
      <c r="Y52" s="2"/>
      <c r="Z52" s="2"/>
    </row>
    <row r="53" customFormat="false" ht="42" hidden="false" customHeight="true" outlineLevel="0" collapsed="false">
      <c r="A53" s="12" t="s">
        <v>590</v>
      </c>
      <c r="B53" s="12" t="s">
        <v>591</v>
      </c>
      <c r="C53" s="20" t="s">
        <v>849</v>
      </c>
      <c r="D53" s="20" t="s">
        <v>687</v>
      </c>
      <c r="E53" s="20" t="s">
        <v>687</v>
      </c>
      <c r="F53" s="20" t="s">
        <v>687</v>
      </c>
      <c r="G53" s="20" t="s">
        <v>849</v>
      </c>
      <c r="H53" s="20" t="s">
        <v>849</v>
      </c>
      <c r="I53" s="20" t="s">
        <v>849</v>
      </c>
      <c r="J53" s="20" t="s">
        <v>849</v>
      </c>
      <c r="K53" s="20" t="s">
        <v>849</v>
      </c>
      <c r="L53" s="20" t="s">
        <v>687</v>
      </c>
      <c r="M53" s="20" t="s">
        <v>686</v>
      </c>
      <c r="N53" s="20"/>
      <c r="O53" s="2"/>
      <c r="P53" s="2"/>
      <c r="Q53" s="2"/>
      <c r="R53" s="2"/>
      <c r="S53" s="2"/>
      <c r="T53" s="2"/>
      <c r="U53" s="2"/>
      <c r="V53" s="2"/>
      <c r="W53" s="2"/>
      <c r="X53" s="2"/>
      <c r="Y53" s="2"/>
      <c r="Z53" s="2"/>
    </row>
    <row r="54" customFormat="false" ht="42" hidden="false" customHeight="true" outlineLevel="0" collapsed="false">
      <c r="A54" s="12" t="s">
        <v>601</v>
      </c>
      <c r="B54" s="12" t="s">
        <v>602</v>
      </c>
      <c r="C54" s="20" t="s">
        <v>849</v>
      </c>
      <c r="D54" s="20" t="s">
        <v>687</v>
      </c>
      <c r="E54" s="20" t="s">
        <v>687</v>
      </c>
      <c r="F54" s="20" t="s">
        <v>687</v>
      </c>
      <c r="G54" s="20" t="s">
        <v>849</v>
      </c>
      <c r="H54" s="20" t="s">
        <v>849</v>
      </c>
      <c r="I54" s="20" t="s">
        <v>849</v>
      </c>
      <c r="J54" s="20" t="s">
        <v>849</v>
      </c>
      <c r="K54" s="20" t="s">
        <v>849</v>
      </c>
      <c r="L54" s="20" t="s">
        <v>687</v>
      </c>
      <c r="M54" s="20" t="s">
        <v>686</v>
      </c>
      <c r="N54" s="20"/>
      <c r="O54" s="2"/>
      <c r="P54" s="2"/>
      <c r="Q54" s="2"/>
      <c r="R54" s="2"/>
      <c r="S54" s="2"/>
      <c r="T54" s="2"/>
      <c r="U54" s="2"/>
      <c r="V54" s="2"/>
      <c r="W54" s="2"/>
      <c r="X54" s="2"/>
      <c r="Y54" s="2"/>
      <c r="Z54" s="2"/>
    </row>
    <row r="55" customFormat="false" ht="42" hidden="false" customHeight="true" outlineLevel="0" collapsed="false">
      <c r="A55" s="12" t="s">
        <v>612</v>
      </c>
      <c r="B55" s="12" t="s">
        <v>613</v>
      </c>
      <c r="C55" s="20" t="s">
        <v>849</v>
      </c>
      <c r="D55" s="20" t="s">
        <v>687</v>
      </c>
      <c r="E55" s="20" t="s">
        <v>687</v>
      </c>
      <c r="F55" s="20" t="s">
        <v>687</v>
      </c>
      <c r="G55" s="20" t="s">
        <v>849</v>
      </c>
      <c r="H55" s="20" t="s">
        <v>849</v>
      </c>
      <c r="I55" s="20" t="s">
        <v>849</v>
      </c>
      <c r="J55" s="20" t="s">
        <v>849</v>
      </c>
      <c r="K55" s="20" t="s">
        <v>849</v>
      </c>
      <c r="L55" s="20" t="s">
        <v>687</v>
      </c>
      <c r="M55" s="20" t="s">
        <v>686</v>
      </c>
      <c r="N55" s="20"/>
      <c r="O55" s="2"/>
      <c r="P55" s="2"/>
      <c r="Q55" s="2"/>
      <c r="R55" s="2"/>
      <c r="S55" s="2"/>
      <c r="T55" s="2"/>
      <c r="U55" s="2"/>
      <c r="V55" s="2"/>
      <c r="W55" s="2"/>
      <c r="X55" s="2"/>
      <c r="Y55" s="2"/>
      <c r="Z55" s="2"/>
    </row>
    <row r="56" customFormat="false" ht="42" hidden="false" customHeight="true" outlineLevel="0" collapsed="false">
      <c r="A56" s="12" t="s">
        <v>623</v>
      </c>
      <c r="B56" s="12" t="s">
        <v>624</v>
      </c>
      <c r="C56" s="20" t="s">
        <v>849</v>
      </c>
      <c r="D56" s="20" t="s">
        <v>687</v>
      </c>
      <c r="E56" s="20" t="s">
        <v>687</v>
      </c>
      <c r="F56" s="20" t="s">
        <v>687</v>
      </c>
      <c r="G56" s="20" t="s">
        <v>849</v>
      </c>
      <c r="H56" s="20" t="s">
        <v>849</v>
      </c>
      <c r="I56" s="20" t="s">
        <v>849</v>
      </c>
      <c r="J56" s="20" t="s">
        <v>849</v>
      </c>
      <c r="K56" s="20" t="s">
        <v>849</v>
      </c>
      <c r="L56" s="20" t="s">
        <v>687</v>
      </c>
      <c r="M56" s="20" t="s">
        <v>686</v>
      </c>
      <c r="N56" s="20"/>
      <c r="O56" s="2"/>
      <c r="P56" s="2"/>
      <c r="Q56" s="2"/>
      <c r="R56" s="2"/>
      <c r="S56" s="2"/>
      <c r="T56" s="2"/>
      <c r="U56" s="2"/>
      <c r="V56" s="2"/>
      <c r="W56" s="2"/>
      <c r="X56" s="2"/>
      <c r="Y56" s="2"/>
      <c r="Z56" s="2"/>
    </row>
    <row r="57" customFormat="false" ht="42" hidden="false" customHeight="true" outlineLevel="0" collapsed="false">
      <c r="A57" s="12" t="s">
        <v>634</v>
      </c>
      <c r="B57" s="12" t="s">
        <v>635</v>
      </c>
      <c r="C57" s="20" t="s">
        <v>849</v>
      </c>
      <c r="D57" s="20" t="s">
        <v>687</v>
      </c>
      <c r="E57" s="20" t="s">
        <v>687</v>
      </c>
      <c r="F57" s="20" t="s">
        <v>687</v>
      </c>
      <c r="G57" s="20" t="s">
        <v>849</v>
      </c>
      <c r="H57" s="20" t="s">
        <v>849</v>
      </c>
      <c r="I57" s="20" t="s">
        <v>849</v>
      </c>
      <c r="J57" s="20" t="s">
        <v>849</v>
      </c>
      <c r="K57" s="20" t="s">
        <v>849</v>
      </c>
      <c r="L57" s="20" t="s">
        <v>687</v>
      </c>
      <c r="M57" s="20" t="s">
        <v>686</v>
      </c>
      <c r="N57" s="20"/>
      <c r="O57" s="2"/>
      <c r="P57" s="2"/>
      <c r="Q57" s="2"/>
      <c r="R57" s="2"/>
      <c r="S57" s="2"/>
      <c r="T57" s="2"/>
      <c r="U57" s="2"/>
      <c r="V57" s="2"/>
      <c r="W57" s="2"/>
      <c r="X57" s="2"/>
      <c r="Y57" s="2"/>
      <c r="Z57" s="2"/>
    </row>
    <row r="58" customFormat="false" ht="42" hidden="false" customHeight="true" outlineLevel="0" collapsed="false">
      <c r="A58" s="12" t="s">
        <v>645</v>
      </c>
      <c r="B58" s="12" t="s">
        <v>646</v>
      </c>
      <c r="C58" s="20" t="s">
        <v>849</v>
      </c>
      <c r="D58" s="20" t="s">
        <v>687</v>
      </c>
      <c r="E58" s="20" t="s">
        <v>687</v>
      </c>
      <c r="F58" s="20" t="s">
        <v>687</v>
      </c>
      <c r="G58" s="20" t="s">
        <v>849</v>
      </c>
      <c r="H58" s="20" t="s">
        <v>849</v>
      </c>
      <c r="I58" s="20" t="s">
        <v>849</v>
      </c>
      <c r="J58" s="20" t="s">
        <v>849</v>
      </c>
      <c r="K58" s="20" t="s">
        <v>849</v>
      </c>
      <c r="L58" s="20" t="s">
        <v>687</v>
      </c>
      <c r="M58" s="20" t="s">
        <v>686</v>
      </c>
      <c r="N58" s="20"/>
      <c r="O58" s="2"/>
      <c r="P58" s="2"/>
      <c r="Q58" s="2"/>
      <c r="R58" s="2"/>
      <c r="S58" s="2"/>
      <c r="T58" s="2"/>
      <c r="U58" s="2"/>
      <c r="V58" s="2"/>
      <c r="W58" s="2"/>
      <c r="X58" s="2"/>
      <c r="Y58" s="2"/>
      <c r="Z58" s="2"/>
    </row>
    <row r="59" customFormat="false" ht="42" hidden="false" customHeight="true" outlineLevel="0" collapsed="false">
      <c r="A59" s="12" t="s">
        <v>656</v>
      </c>
      <c r="B59" s="12" t="s">
        <v>657</v>
      </c>
      <c r="C59" s="20" t="s">
        <v>849</v>
      </c>
      <c r="D59" s="20" t="s">
        <v>687</v>
      </c>
      <c r="E59" s="20" t="s">
        <v>687</v>
      </c>
      <c r="F59" s="20" t="s">
        <v>687</v>
      </c>
      <c r="G59" s="20" t="s">
        <v>849</v>
      </c>
      <c r="H59" s="20" t="s">
        <v>849</v>
      </c>
      <c r="I59" s="20" t="s">
        <v>849</v>
      </c>
      <c r="J59" s="20" t="s">
        <v>849</v>
      </c>
      <c r="K59" s="20" t="s">
        <v>849</v>
      </c>
      <c r="L59" s="20" t="s">
        <v>687</v>
      </c>
      <c r="M59" s="20" t="s">
        <v>686</v>
      </c>
      <c r="N59" s="20"/>
      <c r="O59" s="2"/>
      <c r="P59" s="2"/>
      <c r="Q59" s="2"/>
      <c r="R59" s="2"/>
      <c r="S59" s="2"/>
      <c r="T59" s="2"/>
      <c r="U59" s="2"/>
      <c r="V59" s="2"/>
      <c r="W59" s="2"/>
      <c r="X59" s="2"/>
      <c r="Y59" s="2"/>
      <c r="Z59" s="2"/>
    </row>
    <row r="60" customFormat="false" ht="14.25" hidden="false" customHeight="fals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4.25" hidden="false" customHeight="fals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4.25" hidden="false" customHeight="fals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4.25" hidden="false" customHeight="fals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4.25" hidden="false" customHeight="fals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4.25" hidden="false" customHeight="fals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4.25" hidden="false" customHeight="fals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4.25" hidden="false" customHeight="fals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4.25" hidden="false" customHeight="fals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4.25" hidden="false" customHeight="fals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4.25" hidden="false" customHeight="fals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4.25" hidden="false" customHeight="fals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4.25" hidden="false" customHeight="fals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4.25" hidden="false" customHeight="fals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4.25" hidden="false" customHeight="fals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4.25" hidden="false" customHeight="fals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4.25" hidden="false" customHeight="fals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4.25" hidden="false" customHeight="fals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4.25" hidden="false" customHeight="fals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4.25" hidden="false" customHeight="fals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4.25" hidden="false" customHeight="fals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4.25" hidden="false" customHeight="fals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4.25" hidden="false" customHeight="fals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4.25" hidden="false" customHeight="fals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4.25" hidden="false" customHeight="fals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4.25" hidden="false" customHeight="fals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4.25" hidden="false" customHeight="fals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4.25" hidden="false" customHeight="fals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4.25" hidden="false" customHeight="fals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4.25" hidden="false" customHeight="fals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4.25" hidden="false" customHeight="fals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4.25" hidden="false" customHeight="fals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4.25" hidden="false" customHeight="fals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4.25" hidden="false" customHeight="fals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4.25" hidden="false" customHeight="fals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4.25" hidden="false" customHeight="fals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4.25" hidden="false" customHeight="fals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4.25" hidden="false" customHeight="fals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4.25" hidden="false" customHeight="fals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4.25" hidden="false" customHeight="fals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4.25" hidden="false" customHeight="fals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4.25" hidden="false" customHeight="fals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4.25" hidden="false" customHeight="fals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4.25" hidden="false" customHeight="fals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4.25" hidden="false" customHeight="fals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4.25" hidden="false" customHeight="fals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4.25" hidden="false" customHeight="fals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4.25" hidden="false" customHeight="fals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4.25" hidden="false" customHeight="fals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4.25" hidden="false" customHeight="fals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4.25" hidden="false" customHeight="fals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4.25" hidden="false" customHeight="fals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4.25" hidden="false" customHeight="fals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4.25" hidden="false" customHeight="fals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4.25" hidden="false" customHeight="fals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4.25" hidden="false" customHeight="fals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4.25" hidden="false" customHeight="fals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4.25" hidden="false" customHeight="fals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4.25" hidden="false" customHeight="fals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4.25" hidden="false" customHeight="fals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4.25" hidden="false" customHeight="fals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4.25" hidden="false" customHeight="fals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4.25" hidden="false" customHeight="fals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4.25" hidden="false" customHeight="fals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4.25" hidden="false" customHeight="fals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4.25" hidden="false" customHeight="fals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4.25" hidden="false" customHeight="fals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4.25" hidden="false" customHeight="fals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4.25" hidden="false" customHeight="fals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4.25" hidden="false" customHeight="fals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4.25" hidden="false" customHeight="fals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4.25" hidden="false" customHeight="fals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4.25" hidden="false" customHeight="fals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4.25" hidden="false" customHeight="fals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4.25" hidden="false" customHeight="fals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4.25" hidden="false" customHeight="fals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4.25" hidden="false" customHeight="fals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4.25" hidden="false" customHeight="fals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4.25" hidden="false" customHeight="fals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4.25" hidden="false" customHeight="fals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4.25" hidden="false" customHeight="fals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4.25" hidden="false" customHeight="fals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4.25" hidden="false" customHeight="fals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4.25" hidden="false" customHeight="fals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4.25" hidden="false" customHeight="fals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4.25" hidden="false" customHeight="fals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4.25" hidden="false" customHeight="fals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4.25" hidden="false" customHeight="fals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4.25" hidden="false" customHeight="fals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4.25" hidden="false" customHeight="fals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4.25" hidden="false" customHeight="fals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4.25" hidden="false" customHeight="fals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4.25" hidden="false" customHeight="fals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4.25" hidden="false" customHeight="fals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4.25" hidden="false" customHeight="fals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4.25" hidden="false" customHeight="fals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4.25" hidden="false" customHeight="fals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4.25" hidden="false" customHeight="fals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4.25" hidden="false" customHeight="fals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4.25" hidden="false" customHeight="fals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4.25" hidden="false" customHeight="fals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4.25" hidden="false" customHeight="fals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4.25" hidden="false" customHeight="fals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4.25" hidden="false" customHeight="fals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4.25" hidden="false" customHeight="fals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4.25" hidden="false" customHeight="fals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4.25" hidden="false" customHeight="fals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4.25" hidden="false" customHeight="fals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4.25" hidden="false" customHeight="fals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4.25" hidden="false" customHeight="fals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4.25" hidden="false" customHeight="fals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4.25" hidden="false" customHeight="fals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4.25" hidden="false" customHeight="fals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4.25" hidden="false" customHeight="fals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4.25" hidden="false" customHeight="fals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4.25" hidden="false" customHeight="fals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4.25" hidden="false" customHeight="fals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4.25" hidden="false" customHeight="fals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4.25" hidden="false" customHeight="fals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4.25" hidden="false" customHeight="fals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4.25" hidden="false" customHeight="fals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4.25" hidden="false" customHeight="fals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4.25" hidden="false" customHeight="fals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4.25" hidden="false" customHeight="fals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4.25" hidden="false" customHeight="fals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4.25" hidden="false" customHeight="fals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4.25" hidden="false" customHeight="fals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4.25" hidden="false" customHeight="fals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4.25" hidden="false" customHeight="fals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4.25" hidden="false" customHeight="fals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4.25" hidden="false" customHeight="fals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4.25" hidden="false" customHeight="fals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4.25" hidden="false" customHeight="fals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4.25" hidden="false" customHeight="fals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4.25" hidden="false" customHeight="fals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4.25" hidden="false" customHeight="fals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4.25" hidden="false" customHeight="fals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4.25" hidden="false" customHeight="fals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4.25" hidden="false" customHeight="fals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4.25" hidden="false" customHeight="fals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4.25" hidden="false" customHeight="fals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sheetData>
  <autoFilter ref="A4:N59"/>
  <mergeCells count="2">
    <mergeCell ref="A1:N1"/>
    <mergeCell ref="A2:N2"/>
  </mergeCells>
  <conditionalFormatting sqref="C5:M59">
    <cfRule type="expression" priority="2" aboveAverage="0" equalAverage="0" bottom="0" percent="0" rank="0" text="" dxfId="17">
      <formula>C5="Verificar"</formula>
    </cfRule>
  </conditionalFormatting>
  <conditionalFormatting sqref="C5:L59">
    <cfRule type="cellIs" priority="3" operator="equal" aboveAverage="0" equalAverage="0" bottom="0" percent="0" rank="0" text="" dxfId="18">
      <formula>"Verificar"</formula>
    </cfRule>
  </conditionalFormatting>
  <dataValidations count="2">
    <dataValidation allowBlank="false" errorStyle="stop" operator="between" showDropDown="false" showErrorMessage="false" showInputMessage="false" sqref="M5:M59" type="list">
      <formula1>"Sí,No,Verificar"</formula1>
      <formula2>0</formula2>
    </dataValidation>
    <dataValidation allowBlank="true" errorStyle="stop" operator="between" showDropDown="false" showErrorMessage="false" showInputMessage="false" sqref="C5:L59" type="list">
      <formula1>Lista_SNV</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B2F2F"/>
    <pageSetUpPr fitToPage="false"/>
  </sheetPr>
  <dimension ref="A1:Z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9.00390625" defaultRowHeight="14.2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27"/>
    <col collapsed="false" customWidth="true" hidden="false" outlineLevel="0" max="4" min="4" style="0" width="15"/>
    <col collapsed="false" customWidth="true" hidden="false" outlineLevel="0" max="5" min="5" style="0" width="16"/>
    <col collapsed="false" customWidth="true" hidden="false" outlineLevel="0" max="6" min="6" style="0" width="22"/>
    <col collapsed="false" customWidth="true" hidden="false" outlineLevel="0" max="7" min="7" style="0" width="14"/>
    <col collapsed="false" customWidth="true" hidden="false" outlineLevel="0" max="8" min="8" style="0" width="17"/>
    <col collapsed="false" customWidth="true" hidden="false" outlineLevel="0" max="9" min="9" style="0" width="22"/>
    <col collapsed="false" customWidth="true" hidden="false" outlineLevel="0" max="11" min="10" style="0" width="24"/>
    <col collapsed="false" customWidth="true" hidden="false" outlineLevel="0" max="12" min="12" style="0" width="22"/>
    <col collapsed="false" customWidth="true" hidden="false" outlineLevel="0" max="13" min="13" style="0" width="20"/>
    <col collapsed="false" customWidth="true" hidden="false" outlineLevel="0" max="14" min="14" style="0" width="22"/>
    <col collapsed="false" customWidth="true" hidden="false" outlineLevel="0" max="15" min="15" style="0" width="24"/>
    <col collapsed="false" customWidth="true" hidden="false" outlineLevel="0" max="16" min="16" style="0" width="42"/>
  </cols>
  <sheetData>
    <row r="1" customFormat="false" ht="30" hidden="false" customHeight="true" outlineLevel="0" collapsed="false">
      <c r="A1" s="1" t="s">
        <v>1043</v>
      </c>
      <c r="B1" s="1"/>
      <c r="C1" s="1"/>
      <c r="D1" s="1"/>
      <c r="E1" s="1"/>
      <c r="F1" s="1"/>
      <c r="G1" s="1"/>
      <c r="H1" s="1"/>
      <c r="I1" s="1"/>
      <c r="J1" s="1"/>
      <c r="K1" s="1"/>
      <c r="L1" s="1"/>
      <c r="M1" s="1"/>
      <c r="N1" s="1"/>
      <c r="O1" s="1"/>
      <c r="P1" s="1"/>
      <c r="Q1" s="2"/>
      <c r="R1" s="2"/>
      <c r="S1" s="2"/>
      <c r="T1" s="2"/>
      <c r="U1" s="2"/>
      <c r="V1" s="2"/>
      <c r="W1" s="2"/>
      <c r="X1" s="2"/>
      <c r="Y1" s="2"/>
      <c r="Z1" s="2"/>
    </row>
    <row r="2" customFormat="false" ht="30" hidden="false" customHeight="true" outlineLevel="0" collapsed="false">
      <c r="A2" s="3" t="s">
        <v>1044</v>
      </c>
      <c r="B2" s="3"/>
      <c r="C2" s="3"/>
      <c r="D2" s="3"/>
      <c r="E2" s="3"/>
      <c r="F2" s="3"/>
      <c r="G2" s="3"/>
      <c r="H2" s="3"/>
      <c r="I2" s="3"/>
      <c r="J2" s="3"/>
      <c r="K2" s="3"/>
      <c r="L2" s="3"/>
      <c r="M2" s="3"/>
      <c r="N2" s="3"/>
      <c r="O2" s="3"/>
      <c r="P2" s="3"/>
      <c r="Q2" s="2"/>
      <c r="R2" s="2"/>
      <c r="S2" s="2"/>
      <c r="T2" s="2"/>
      <c r="U2" s="2"/>
      <c r="V2" s="2"/>
      <c r="W2" s="2"/>
      <c r="X2" s="2"/>
      <c r="Y2" s="2"/>
      <c r="Z2" s="2"/>
    </row>
    <row r="3" customFormat="false" ht="14.25" hidden="false" customHeight="false" outlineLevel="0" collapsed="false">
      <c r="A3" s="2"/>
      <c r="B3" s="2"/>
      <c r="C3" s="2"/>
      <c r="D3" s="2"/>
      <c r="E3" s="2"/>
      <c r="F3" s="2"/>
      <c r="G3" s="2"/>
      <c r="H3" s="2"/>
      <c r="I3" s="2"/>
      <c r="J3" s="2"/>
      <c r="K3" s="2"/>
      <c r="L3" s="2"/>
      <c r="M3" s="2"/>
      <c r="N3" s="2"/>
      <c r="O3" s="2"/>
      <c r="P3" s="2"/>
      <c r="Q3" s="2"/>
      <c r="R3" s="2"/>
      <c r="S3" s="2"/>
      <c r="T3" s="2"/>
      <c r="U3" s="2"/>
      <c r="V3" s="2"/>
      <c r="W3" s="2"/>
      <c r="X3" s="2"/>
      <c r="Y3" s="2"/>
      <c r="Z3" s="2"/>
    </row>
    <row r="4" customFormat="false" ht="36" hidden="false" customHeight="true" outlineLevel="0" collapsed="false">
      <c r="A4" s="11" t="s">
        <v>79</v>
      </c>
      <c r="B4" s="11" t="s">
        <v>821</v>
      </c>
      <c r="C4" s="11" t="s">
        <v>35</v>
      </c>
      <c r="D4" s="11" t="s">
        <v>823</v>
      </c>
      <c r="E4" s="11" t="s">
        <v>827</v>
      </c>
      <c r="F4" s="11" t="s">
        <v>1045</v>
      </c>
      <c r="G4" s="11" t="s">
        <v>1046</v>
      </c>
      <c r="H4" s="11" t="s">
        <v>1047</v>
      </c>
      <c r="I4" s="11" t="s">
        <v>1048</v>
      </c>
      <c r="J4" s="11" t="s">
        <v>1049</v>
      </c>
      <c r="K4" s="11" t="s">
        <v>1050</v>
      </c>
      <c r="L4" s="11" t="s">
        <v>1051</v>
      </c>
      <c r="M4" s="11" t="s">
        <v>1052</v>
      </c>
      <c r="N4" s="11" t="s">
        <v>1053</v>
      </c>
      <c r="O4" s="11" t="s">
        <v>1054</v>
      </c>
      <c r="P4" s="11" t="s">
        <v>683</v>
      </c>
      <c r="Q4" s="2"/>
      <c r="R4" s="2"/>
      <c r="S4" s="2"/>
      <c r="T4" s="2"/>
      <c r="U4" s="2"/>
      <c r="V4" s="2"/>
      <c r="W4" s="2"/>
      <c r="X4" s="2"/>
      <c r="Y4" s="2"/>
      <c r="Z4" s="2"/>
    </row>
    <row r="5" customFormat="false" ht="42" hidden="false" customHeight="true" outlineLevel="0" collapsed="false">
      <c r="A5" s="12" t="s">
        <v>91</v>
      </c>
      <c r="B5" s="12" t="s">
        <v>92</v>
      </c>
      <c r="C5" s="12" t="s">
        <v>38</v>
      </c>
      <c r="D5" s="17" t="n">
        <f aca="false">IFERROR(INDEX(04_Precios!$D$5:$D$59,MATCH($A5,04_Precios!$A$5:$A$59,0)),"")</f>
        <v>0</v>
      </c>
      <c r="E5" s="17" t="n">
        <f aca="false">IFERROR(INDEX(04_Precios!$H$5:$H$59,MATCH($A5,04_Precios!$A$5:$A$59,0)),"")</f>
        <v>0</v>
      </c>
      <c r="F5" s="17" t="str">
        <f aca="false">IF(OR(D5="",E5=""),"",D5-E5)</f>
        <v/>
      </c>
      <c r="G5" s="18" t="str">
        <f aca="false">IFERROR(F5/D5,"")</f>
        <v/>
      </c>
      <c r="H5" s="12" t="n">
        <f aca="false">IFERROR(INDEX(12_Estadísticas!$C$5:$C$59,MATCH($A5,12_Estadísticas!$A$5:$A$59,0)),"")</f>
        <v>0</v>
      </c>
      <c r="I5" s="18" t="str">
        <f aca="false">IFERROR(H5/SUMIF($C$5:$C$59,C5,$H$5:$H$59),"")</f>
        <v/>
      </c>
      <c r="J5" s="12" t="n">
        <f aca="false">IFERROR(AVERAGEIF($C$5:$C$59,C5,$H$5:$H$59),"")</f>
        <v>0</v>
      </c>
      <c r="K5" s="12" t="str">
        <f aca="false">IFERROR(AVERAGEIF($C$5:$C$59,C5,$F$5:$F$59),"")</f>
        <v/>
      </c>
      <c r="L5" s="12" t="str">
        <f aca="false">IF(OR(D5="",E5="",H5=""),"Sin datos",IF(AND(H5&gt;=J5,F5&gt;=K5),"Estrella",IF(AND(H5&gt;=J5,F5&lt;K5),"Caballo de batalla",IF(AND(H5&lt;J5,F5&gt;=K5),"Incógnita","Perro"))))</f>
        <v>Sin datos</v>
      </c>
      <c r="M5" s="12" t="str">
        <f aca="false">IF(L5="Estrella","Mantener visibilidad",IF(L5="Caballo de batalla","Optimizar margen",IF(L5="Puzzle","Aumentar visibilidad",IF(L5="Perro","Revisar continuidad","Esperar datos"))))</f>
        <v>Esperar datos</v>
      </c>
      <c r="N5" s="12" t="str">
        <f aca="false">IF(L5="Estrella","Más pedido",IF(L5="Puzzle","Recomendado",IF(L5="Caballo de batalla","Clásico",IF(L5="Perro","",""))))</f>
        <v/>
      </c>
      <c r="O5" s="20"/>
      <c r="P5" s="20"/>
      <c r="Q5" s="2"/>
      <c r="R5" s="2"/>
      <c r="S5" s="2"/>
      <c r="T5" s="2"/>
      <c r="U5" s="2"/>
      <c r="V5" s="2"/>
      <c r="W5" s="2"/>
      <c r="X5" s="2"/>
      <c r="Y5" s="2"/>
      <c r="Z5" s="2"/>
    </row>
    <row r="6" customFormat="false" ht="42" hidden="false" customHeight="true" outlineLevel="0" collapsed="false">
      <c r="A6" s="12" t="s">
        <v>102</v>
      </c>
      <c r="B6" s="12" t="s">
        <v>103</v>
      </c>
      <c r="C6" s="12" t="s">
        <v>38</v>
      </c>
      <c r="D6" s="17" t="n">
        <f aca="false">IFERROR(INDEX(04_Precios!$D$5:$D$59,MATCH($A6,04_Precios!$A$5:$A$59,0)),"")</f>
        <v>0</v>
      </c>
      <c r="E6" s="17" t="n">
        <f aca="false">IFERROR(INDEX(04_Precios!$H$5:$H$59,MATCH($A6,04_Precios!$A$5:$A$59,0)),"")</f>
        <v>0</v>
      </c>
      <c r="F6" s="17" t="str">
        <f aca="false">IF(OR(D6="",E6=""),"",D6-E6)</f>
        <v/>
      </c>
      <c r="G6" s="18" t="str">
        <f aca="false">IFERROR(F6/D6,"")</f>
        <v/>
      </c>
      <c r="H6" s="12" t="n">
        <f aca="false">IFERROR(INDEX(12_Estadísticas!$C$5:$C$59,MATCH($A6,12_Estadísticas!$A$5:$A$59,0)),"")</f>
        <v>0</v>
      </c>
      <c r="I6" s="18" t="str">
        <f aca="false">IFERROR(H6/SUMIF($C$5:$C$59,C6,$H$5:$H$59),"")</f>
        <v/>
      </c>
      <c r="J6" s="12" t="n">
        <f aca="false">IFERROR(AVERAGEIF($C$5:$C$59,C6,$H$5:$H$59),"")</f>
        <v>0</v>
      </c>
      <c r="K6" s="12" t="str">
        <f aca="false">IFERROR(AVERAGEIF($C$5:$C$59,C6,$F$5:$F$59),"")</f>
        <v/>
      </c>
      <c r="L6" s="12" t="str">
        <f aca="false">IF(OR(D6="",E6="",H6=""),"Sin datos",IF(AND(H6&gt;=J6,F6&gt;=K6),"Estrella",IF(AND(H6&gt;=J6,F6&lt;K6),"Caballo de batalla",IF(AND(H6&lt;J6,F6&gt;=K6),"Incógnita","Perro"))))</f>
        <v>Sin datos</v>
      </c>
      <c r="M6" s="12" t="str">
        <f aca="false">IF(L6="Estrella","Mantener visibilidad",IF(L6="Caballo de batalla","Optimizar margen",IF(L6="Puzzle","Aumentar visibilidad",IF(L6="Perro","Revisar continuidad","Esperar datos"))))</f>
        <v>Esperar datos</v>
      </c>
      <c r="N6" s="12" t="str">
        <f aca="false">IF(L6="Estrella","Más pedido",IF(L6="Puzzle","Recomendado",IF(L6="Caballo de batalla","Clásico",IF(L6="Perro","",""))))</f>
        <v/>
      </c>
      <c r="O6" s="20"/>
      <c r="P6" s="20"/>
      <c r="Q6" s="2"/>
      <c r="R6" s="2"/>
      <c r="S6" s="2"/>
      <c r="T6" s="2"/>
      <c r="U6" s="2"/>
      <c r="V6" s="2"/>
      <c r="W6" s="2"/>
      <c r="X6" s="2"/>
      <c r="Y6" s="2"/>
      <c r="Z6" s="2"/>
    </row>
    <row r="7" customFormat="false" ht="42" hidden="false" customHeight="true" outlineLevel="0" collapsed="false">
      <c r="A7" s="12" t="s">
        <v>113</v>
      </c>
      <c r="B7" s="12" t="s">
        <v>114</v>
      </c>
      <c r="C7" s="12" t="s">
        <v>38</v>
      </c>
      <c r="D7" s="17" t="n">
        <f aca="false">IFERROR(INDEX(04_Precios!$D$5:$D$59,MATCH($A7,04_Precios!$A$5:$A$59,0)),"")</f>
        <v>0</v>
      </c>
      <c r="E7" s="17" t="n">
        <f aca="false">IFERROR(INDEX(04_Precios!$H$5:$H$59,MATCH($A7,04_Precios!$A$5:$A$59,0)),"")</f>
        <v>0</v>
      </c>
      <c r="F7" s="17" t="str">
        <f aca="false">IF(OR(D7="",E7=""),"",D7-E7)</f>
        <v/>
      </c>
      <c r="G7" s="18" t="str">
        <f aca="false">IFERROR(F7/D7,"")</f>
        <v/>
      </c>
      <c r="H7" s="12" t="n">
        <f aca="false">IFERROR(INDEX(12_Estadísticas!$C$5:$C$59,MATCH($A7,12_Estadísticas!$A$5:$A$59,0)),"")</f>
        <v>0</v>
      </c>
      <c r="I7" s="18" t="str">
        <f aca="false">IFERROR(H7/SUMIF($C$5:$C$59,C7,$H$5:$H$59),"")</f>
        <v/>
      </c>
      <c r="J7" s="12" t="n">
        <f aca="false">IFERROR(AVERAGEIF($C$5:$C$59,C7,$H$5:$H$59),"")</f>
        <v>0</v>
      </c>
      <c r="K7" s="12" t="str">
        <f aca="false">IFERROR(AVERAGEIF($C$5:$C$59,C7,$F$5:$F$59),"")</f>
        <v/>
      </c>
      <c r="L7" s="12" t="str">
        <f aca="false">IF(OR(D7="",E7="",H7=""),"Sin datos",IF(AND(H7&gt;=J7,F7&gt;=K7),"Estrella",IF(AND(H7&gt;=J7,F7&lt;K7),"Caballo de batalla",IF(AND(H7&lt;J7,F7&gt;=K7),"Incógnita","Perro"))))</f>
        <v>Sin datos</v>
      </c>
      <c r="M7" s="12" t="str">
        <f aca="false">IF(L7="Estrella","Mantener visibilidad",IF(L7="Caballo de batalla","Optimizar margen",IF(L7="Puzzle","Aumentar visibilidad",IF(L7="Perro","Revisar continuidad","Esperar datos"))))</f>
        <v>Esperar datos</v>
      </c>
      <c r="N7" s="12" t="str">
        <f aca="false">IF(L7="Estrella","Más pedido",IF(L7="Puzzle","Recomendado",IF(L7="Caballo de batalla","Clásico",IF(L7="Perro","",""))))</f>
        <v/>
      </c>
      <c r="O7" s="20"/>
      <c r="P7" s="20"/>
      <c r="Q7" s="2"/>
      <c r="R7" s="2"/>
      <c r="S7" s="2"/>
      <c r="T7" s="2"/>
      <c r="U7" s="2"/>
      <c r="V7" s="2"/>
      <c r="W7" s="2"/>
      <c r="X7" s="2"/>
      <c r="Y7" s="2"/>
      <c r="Z7" s="2"/>
    </row>
    <row r="8" customFormat="false" ht="42" hidden="false" customHeight="true" outlineLevel="0" collapsed="false">
      <c r="A8" s="12" t="s">
        <v>124</v>
      </c>
      <c r="B8" s="12" t="s">
        <v>125</v>
      </c>
      <c r="C8" s="12" t="s">
        <v>38</v>
      </c>
      <c r="D8" s="17" t="n">
        <f aca="false">IFERROR(INDEX(04_Precios!$D$5:$D$59,MATCH($A8,04_Precios!$A$5:$A$59,0)),"")</f>
        <v>0</v>
      </c>
      <c r="E8" s="17" t="n">
        <f aca="false">IFERROR(INDEX(04_Precios!$H$5:$H$59,MATCH($A8,04_Precios!$A$5:$A$59,0)),"")</f>
        <v>0</v>
      </c>
      <c r="F8" s="17" t="str">
        <f aca="false">IF(OR(D8="",E8=""),"",D8-E8)</f>
        <v/>
      </c>
      <c r="G8" s="18" t="str">
        <f aca="false">IFERROR(F8/D8,"")</f>
        <v/>
      </c>
      <c r="H8" s="12" t="n">
        <f aca="false">IFERROR(INDEX(12_Estadísticas!$C$5:$C$59,MATCH($A8,12_Estadísticas!$A$5:$A$59,0)),"")</f>
        <v>0</v>
      </c>
      <c r="I8" s="18" t="str">
        <f aca="false">IFERROR(H8/SUMIF($C$5:$C$59,C8,$H$5:$H$59),"")</f>
        <v/>
      </c>
      <c r="J8" s="12" t="n">
        <f aca="false">IFERROR(AVERAGEIF($C$5:$C$59,C8,$H$5:$H$59),"")</f>
        <v>0</v>
      </c>
      <c r="K8" s="12" t="str">
        <f aca="false">IFERROR(AVERAGEIF($C$5:$C$59,C8,$F$5:$F$59),"")</f>
        <v/>
      </c>
      <c r="L8" s="12" t="str">
        <f aca="false">IF(OR(D8="",E8="",H8=""),"Sin datos",IF(AND(H8&gt;=J8,F8&gt;=K8),"Estrella",IF(AND(H8&gt;=J8,F8&lt;K8),"Caballo de batalla",IF(AND(H8&lt;J8,F8&gt;=K8),"Incógnita","Perro"))))</f>
        <v>Sin datos</v>
      </c>
      <c r="M8" s="12" t="str">
        <f aca="false">IF(L8="Estrella","Mantener visibilidad",IF(L8="Caballo de batalla","Optimizar margen",IF(L8="Puzzle","Aumentar visibilidad",IF(L8="Perro","Revisar continuidad","Esperar datos"))))</f>
        <v>Esperar datos</v>
      </c>
      <c r="N8" s="12" t="str">
        <f aca="false">IF(L8="Estrella","Más pedido",IF(L8="Puzzle","Recomendado",IF(L8="Caballo de batalla","Clásico",IF(L8="Perro","",""))))</f>
        <v/>
      </c>
      <c r="O8" s="20"/>
      <c r="P8" s="20"/>
      <c r="Q8" s="2"/>
      <c r="R8" s="2"/>
      <c r="S8" s="2"/>
      <c r="T8" s="2"/>
      <c r="U8" s="2"/>
      <c r="V8" s="2"/>
      <c r="W8" s="2"/>
      <c r="X8" s="2"/>
      <c r="Y8" s="2"/>
      <c r="Z8" s="2"/>
    </row>
    <row r="9" customFormat="false" ht="42" hidden="false" customHeight="true" outlineLevel="0" collapsed="false">
      <c r="A9" s="12" t="s">
        <v>135</v>
      </c>
      <c r="B9" s="12" t="s">
        <v>136</v>
      </c>
      <c r="C9" s="12" t="s">
        <v>41</v>
      </c>
      <c r="D9" s="17" t="n">
        <f aca="false">IFERROR(INDEX(04_Precios!$D$5:$D$59,MATCH($A9,04_Precios!$A$5:$A$59,0)),"")</f>
        <v>0</v>
      </c>
      <c r="E9" s="17" t="n">
        <f aca="false">IFERROR(INDEX(04_Precios!$H$5:$H$59,MATCH($A9,04_Precios!$A$5:$A$59,0)),"")</f>
        <v>0</v>
      </c>
      <c r="F9" s="17" t="str">
        <f aca="false">IF(OR(D9="",E9=""),"",D9-E9)</f>
        <v/>
      </c>
      <c r="G9" s="18" t="str">
        <f aca="false">IFERROR(F9/D9,"")</f>
        <v/>
      </c>
      <c r="H9" s="12" t="n">
        <f aca="false">IFERROR(INDEX(12_Estadísticas!$C$5:$C$59,MATCH($A9,12_Estadísticas!$A$5:$A$59,0)),"")</f>
        <v>0</v>
      </c>
      <c r="I9" s="18" t="str">
        <f aca="false">IFERROR(H9/SUMIF($C$5:$C$59,C9,$H$5:$H$59),"")</f>
        <v/>
      </c>
      <c r="J9" s="12" t="n">
        <f aca="false">IFERROR(AVERAGEIF($C$5:$C$59,C9,$H$5:$H$59),"")</f>
        <v>0</v>
      </c>
      <c r="K9" s="12" t="str">
        <f aca="false">IFERROR(AVERAGEIF($C$5:$C$59,C9,$F$5:$F$59),"")</f>
        <v/>
      </c>
      <c r="L9" s="12" t="str">
        <f aca="false">IF(OR(D9="",E9="",H9=""),"Sin datos",IF(AND(H9&gt;=J9,F9&gt;=K9),"Estrella",IF(AND(H9&gt;=J9,F9&lt;K9),"Caballo de batalla",IF(AND(H9&lt;J9,F9&gt;=K9),"Incógnita","Perro"))))</f>
        <v>Sin datos</v>
      </c>
      <c r="M9" s="12" t="str">
        <f aca="false">IF(L9="Estrella","Mantener visibilidad",IF(L9="Caballo de batalla","Optimizar margen",IF(L9="Puzzle","Aumentar visibilidad",IF(L9="Perro","Revisar continuidad","Esperar datos"))))</f>
        <v>Esperar datos</v>
      </c>
      <c r="N9" s="12" t="str">
        <f aca="false">IF(L9="Estrella","Más pedido",IF(L9="Puzzle","Recomendado",IF(L9="Caballo de batalla","Clásico",IF(L9="Perro","",""))))</f>
        <v/>
      </c>
      <c r="O9" s="20"/>
      <c r="P9" s="20"/>
      <c r="Q9" s="2"/>
      <c r="R9" s="2"/>
      <c r="S9" s="2"/>
      <c r="T9" s="2"/>
      <c r="U9" s="2"/>
      <c r="V9" s="2"/>
      <c r="W9" s="2"/>
      <c r="X9" s="2"/>
      <c r="Y9" s="2"/>
      <c r="Z9" s="2"/>
    </row>
    <row r="10" customFormat="false" ht="42" hidden="false" customHeight="true" outlineLevel="0" collapsed="false">
      <c r="A10" s="12" t="s">
        <v>146</v>
      </c>
      <c r="B10" s="12" t="s">
        <v>147</v>
      </c>
      <c r="C10" s="12" t="s">
        <v>41</v>
      </c>
      <c r="D10" s="17" t="n">
        <f aca="false">IFERROR(INDEX(04_Precios!$D$5:$D$59,MATCH($A10,04_Precios!$A$5:$A$59,0)),"")</f>
        <v>0</v>
      </c>
      <c r="E10" s="17" t="n">
        <f aca="false">IFERROR(INDEX(04_Precios!$H$5:$H$59,MATCH($A10,04_Precios!$A$5:$A$59,0)),"")</f>
        <v>0</v>
      </c>
      <c r="F10" s="17" t="str">
        <f aca="false">IF(OR(D10="",E10=""),"",D10-E10)</f>
        <v/>
      </c>
      <c r="G10" s="18" t="str">
        <f aca="false">IFERROR(F10/D10,"")</f>
        <v/>
      </c>
      <c r="H10" s="12" t="n">
        <f aca="false">IFERROR(INDEX(12_Estadísticas!$C$5:$C$59,MATCH($A10,12_Estadísticas!$A$5:$A$59,0)),"")</f>
        <v>0</v>
      </c>
      <c r="I10" s="18" t="str">
        <f aca="false">IFERROR(H10/SUMIF($C$5:$C$59,C10,$H$5:$H$59),"")</f>
        <v/>
      </c>
      <c r="J10" s="12" t="n">
        <f aca="false">IFERROR(AVERAGEIF($C$5:$C$59,C10,$H$5:$H$59),"")</f>
        <v>0</v>
      </c>
      <c r="K10" s="12" t="str">
        <f aca="false">IFERROR(AVERAGEIF($C$5:$C$59,C10,$F$5:$F$59),"")</f>
        <v/>
      </c>
      <c r="L10" s="12" t="str">
        <f aca="false">IF(OR(D10="",E10="",H10=""),"Sin datos",IF(AND(H10&gt;=J10,F10&gt;=K10),"Estrella",IF(AND(H10&gt;=J10,F10&lt;K10),"Caballo de batalla",IF(AND(H10&lt;J10,F10&gt;=K10),"Incógnita","Perro"))))</f>
        <v>Sin datos</v>
      </c>
      <c r="M10" s="12" t="str">
        <f aca="false">IF(L10="Estrella","Mantener visibilidad",IF(L10="Caballo de batalla","Optimizar margen",IF(L10="Puzzle","Aumentar visibilidad",IF(L10="Perro","Revisar continuidad","Esperar datos"))))</f>
        <v>Esperar datos</v>
      </c>
      <c r="N10" s="12" t="str">
        <f aca="false">IF(L10="Estrella","Más pedido",IF(L10="Puzzle","Recomendado",IF(L10="Caballo de batalla","Clásico",IF(L10="Perro","",""))))</f>
        <v/>
      </c>
      <c r="O10" s="20"/>
      <c r="P10" s="20"/>
      <c r="Q10" s="2"/>
      <c r="R10" s="2"/>
      <c r="S10" s="2"/>
      <c r="T10" s="2"/>
      <c r="U10" s="2"/>
      <c r="V10" s="2"/>
      <c r="W10" s="2"/>
      <c r="X10" s="2"/>
      <c r="Y10" s="2"/>
      <c r="Z10" s="2"/>
    </row>
    <row r="11" customFormat="false" ht="42" hidden="false" customHeight="true" outlineLevel="0" collapsed="false">
      <c r="A11" s="12" t="s">
        <v>157</v>
      </c>
      <c r="B11" s="12" t="s">
        <v>158</v>
      </c>
      <c r="C11" s="12" t="s">
        <v>41</v>
      </c>
      <c r="D11" s="17" t="n">
        <f aca="false">IFERROR(INDEX(04_Precios!$D$5:$D$59,MATCH($A11,04_Precios!$A$5:$A$59,0)),"")</f>
        <v>0</v>
      </c>
      <c r="E11" s="17" t="n">
        <f aca="false">IFERROR(INDEX(04_Precios!$H$5:$H$59,MATCH($A11,04_Precios!$A$5:$A$59,0)),"")</f>
        <v>0</v>
      </c>
      <c r="F11" s="17" t="str">
        <f aca="false">IF(OR(D11="",E11=""),"",D11-E11)</f>
        <v/>
      </c>
      <c r="G11" s="18" t="str">
        <f aca="false">IFERROR(F11/D11,"")</f>
        <v/>
      </c>
      <c r="H11" s="12" t="n">
        <f aca="false">IFERROR(INDEX(12_Estadísticas!$C$5:$C$59,MATCH($A11,12_Estadísticas!$A$5:$A$59,0)),"")</f>
        <v>0</v>
      </c>
      <c r="I11" s="18" t="str">
        <f aca="false">IFERROR(H11/SUMIF($C$5:$C$59,C11,$H$5:$H$59),"")</f>
        <v/>
      </c>
      <c r="J11" s="12" t="n">
        <f aca="false">IFERROR(AVERAGEIF($C$5:$C$59,C11,$H$5:$H$59),"")</f>
        <v>0</v>
      </c>
      <c r="K11" s="12" t="str">
        <f aca="false">IFERROR(AVERAGEIF($C$5:$C$59,C11,$F$5:$F$59),"")</f>
        <v/>
      </c>
      <c r="L11" s="12" t="str">
        <f aca="false">IF(OR(D11="",E11="",H11=""),"Sin datos",IF(AND(H11&gt;=J11,F11&gt;=K11),"Estrella",IF(AND(H11&gt;=J11,F11&lt;K11),"Caballo de batalla",IF(AND(H11&lt;J11,F11&gt;=K11),"Incógnita","Perro"))))</f>
        <v>Sin datos</v>
      </c>
      <c r="M11" s="12" t="str">
        <f aca="false">IF(L11="Estrella","Mantener visibilidad",IF(L11="Caballo de batalla","Optimizar margen",IF(L11="Puzzle","Aumentar visibilidad",IF(L11="Perro","Revisar continuidad","Esperar datos"))))</f>
        <v>Esperar datos</v>
      </c>
      <c r="N11" s="12" t="str">
        <f aca="false">IF(L11="Estrella","Más pedido",IF(L11="Puzzle","Recomendado",IF(L11="Caballo de batalla","Clásico",IF(L11="Perro","",""))))</f>
        <v/>
      </c>
      <c r="O11" s="20"/>
      <c r="P11" s="20"/>
      <c r="Q11" s="2"/>
      <c r="R11" s="2"/>
      <c r="S11" s="2"/>
      <c r="T11" s="2"/>
      <c r="U11" s="2"/>
      <c r="V11" s="2"/>
      <c r="W11" s="2"/>
      <c r="X11" s="2"/>
      <c r="Y11" s="2"/>
      <c r="Z11" s="2"/>
    </row>
    <row r="12" customFormat="false" ht="42" hidden="false" customHeight="true" outlineLevel="0" collapsed="false">
      <c r="A12" s="12" t="s">
        <v>168</v>
      </c>
      <c r="B12" s="12" t="s">
        <v>169</v>
      </c>
      <c r="C12" s="12" t="s">
        <v>41</v>
      </c>
      <c r="D12" s="17" t="n">
        <f aca="false">IFERROR(INDEX(04_Precios!$D$5:$D$59,MATCH($A12,04_Precios!$A$5:$A$59,0)),"")</f>
        <v>0</v>
      </c>
      <c r="E12" s="17" t="n">
        <f aca="false">IFERROR(INDEX(04_Precios!$H$5:$H$59,MATCH($A12,04_Precios!$A$5:$A$59,0)),"")</f>
        <v>0</v>
      </c>
      <c r="F12" s="17" t="str">
        <f aca="false">IF(OR(D12="",E12=""),"",D12-E12)</f>
        <v/>
      </c>
      <c r="G12" s="18" t="str">
        <f aca="false">IFERROR(F12/D12,"")</f>
        <v/>
      </c>
      <c r="H12" s="12" t="n">
        <f aca="false">IFERROR(INDEX(12_Estadísticas!$C$5:$C$59,MATCH($A12,12_Estadísticas!$A$5:$A$59,0)),"")</f>
        <v>0</v>
      </c>
      <c r="I12" s="18" t="str">
        <f aca="false">IFERROR(H12/SUMIF($C$5:$C$59,C12,$H$5:$H$59),"")</f>
        <v/>
      </c>
      <c r="J12" s="12" t="n">
        <f aca="false">IFERROR(AVERAGEIF($C$5:$C$59,C12,$H$5:$H$59),"")</f>
        <v>0</v>
      </c>
      <c r="K12" s="12" t="str">
        <f aca="false">IFERROR(AVERAGEIF($C$5:$C$59,C12,$F$5:$F$59),"")</f>
        <v/>
      </c>
      <c r="L12" s="12" t="str">
        <f aca="false">IF(OR(D12="",E12="",H12=""),"Sin datos",IF(AND(H12&gt;=J12,F12&gt;=K12),"Estrella",IF(AND(H12&gt;=J12,F12&lt;K12),"Caballo de batalla",IF(AND(H12&lt;J12,F12&gt;=K12),"Incógnita","Perro"))))</f>
        <v>Sin datos</v>
      </c>
      <c r="M12" s="12" t="str">
        <f aca="false">IF(L12="Estrella","Mantener visibilidad",IF(L12="Caballo de batalla","Optimizar margen",IF(L12="Puzzle","Aumentar visibilidad",IF(L12="Perro","Revisar continuidad","Esperar datos"))))</f>
        <v>Esperar datos</v>
      </c>
      <c r="N12" s="12" t="str">
        <f aca="false">IF(L12="Estrella","Más pedido",IF(L12="Puzzle","Recomendado",IF(L12="Caballo de batalla","Clásico",IF(L12="Perro","",""))))</f>
        <v/>
      </c>
      <c r="O12" s="20"/>
      <c r="P12" s="20"/>
      <c r="Q12" s="2"/>
      <c r="R12" s="2"/>
      <c r="S12" s="2"/>
      <c r="T12" s="2"/>
      <c r="U12" s="2"/>
      <c r="V12" s="2"/>
      <c r="W12" s="2"/>
      <c r="X12" s="2"/>
      <c r="Y12" s="2"/>
      <c r="Z12" s="2"/>
    </row>
    <row r="13" customFormat="false" ht="42" hidden="false" customHeight="true" outlineLevel="0" collapsed="false">
      <c r="A13" s="12" t="s">
        <v>179</v>
      </c>
      <c r="B13" s="12" t="s">
        <v>180</v>
      </c>
      <c r="C13" s="12" t="s">
        <v>41</v>
      </c>
      <c r="D13" s="17" t="n">
        <f aca="false">IFERROR(INDEX(04_Precios!$D$5:$D$59,MATCH($A13,04_Precios!$A$5:$A$59,0)),"")</f>
        <v>0</v>
      </c>
      <c r="E13" s="17" t="n">
        <f aca="false">IFERROR(INDEX(04_Precios!$H$5:$H$59,MATCH($A13,04_Precios!$A$5:$A$59,0)),"")</f>
        <v>0</v>
      </c>
      <c r="F13" s="17" t="str">
        <f aca="false">IF(OR(D13="",E13=""),"",D13-E13)</f>
        <v/>
      </c>
      <c r="G13" s="18" t="str">
        <f aca="false">IFERROR(F13/D13,"")</f>
        <v/>
      </c>
      <c r="H13" s="12" t="n">
        <f aca="false">IFERROR(INDEX(12_Estadísticas!$C$5:$C$59,MATCH($A13,12_Estadísticas!$A$5:$A$59,0)),"")</f>
        <v>0</v>
      </c>
      <c r="I13" s="18" t="str">
        <f aca="false">IFERROR(H13/SUMIF($C$5:$C$59,C13,$H$5:$H$59),"")</f>
        <v/>
      </c>
      <c r="J13" s="12" t="n">
        <f aca="false">IFERROR(AVERAGEIF($C$5:$C$59,C13,$H$5:$H$59),"")</f>
        <v>0</v>
      </c>
      <c r="K13" s="12" t="str">
        <f aca="false">IFERROR(AVERAGEIF($C$5:$C$59,C13,$F$5:$F$59),"")</f>
        <v/>
      </c>
      <c r="L13" s="12" t="str">
        <f aca="false">IF(OR(D13="",E13="",H13=""),"Sin datos",IF(AND(H13&gt;=J13,F13&gt;=K13),"Estrella",IF(AND(H13&gt;=J13,F13&lt;K13),"Caballo de batalla",IF(AND(H13&lt;J13,F13&gt;=K13),"Incógnita","Perro"))))</f>
        <v>Sin datos</v>
      </c>
      <c r="M13" s="12" t="str">
        <f aca="false">IF(L13="Estrella","Mantener visibilidad",IF(L13="Caballo de batalla","Optimizar margen",IF(L13="Puzzle","Aumentar visibilidad",IF(L13="Perro","Revisar continuidad","Esperar datos"))))</f>
        <v>Esperar datos</v>
      </c>
      <c r="N13" s="12" t="str">
        <f aca="false">IF(L13="Estrella","Más pedido",IF(L13="Puzzle","Recomendado",IF(L13="Caballo de batalla","Clásico",IF(L13="Perro","",""))))</f>
        <v/>
      </c>
      <c r="O13" s="20"/>
      <c r="P13" s="20"/>
      <c r="Q13" s="2"/>
      <c r="R13" s="2"/>
      <c r="S13" s="2"/>
      <c r="T13" s="2"/>
      <c r="U13" s="2"/>
      <c r="V13" s="2"/>
      <c r="W13" s="2"/>
      <c r="X13" s="2"/>
      <c r="Y13" s="2"/>
      <c r="Z13" s="2"/>
    </row>
    <row r="14" customFormat="false" ht="42" hidden="false" customHeight="true" outlineLevel="0" collapsed="false">
      <c r="A14" s="12" t="s">
        <v>190</v>
      </c>
      <c r="B14" s="12" t="s">
        <v>191</v>
      </c>
      <c r="C14" s="12" t="s">
        <v>41</v>
      </c>
      <c r="D14" s="17" t="n">
        <f aca="false">IFERROR(INDEX(04_Precios!$D$5:$D$59,MATCH($A14,04_Precios!$A$5:$A$59,0)),"")</f>
        <v>0</v>
      </c>
      <c r="E14" s="17" t="n">
        <f aca="false">IFERROR(INDEX(04_Precios!$H$5:$H$59,MATCH($A14,04_Precios!$A$5:$A$59,0)),"")</f>
        <v>0</v>
      </c>
      <c r="F14" s="17" t="str">
        <f aca="false">IF(OR(D14="",E14=""),"",D14-E14)</f>
        <v/>
      </c>
      <c r="G14" s="18" t="str">
        <f aca="false">IFERROR(F14/D14,"")</f>
        <v/>
      </c>
      <c r="H14" s="12" t="n">
        <f aca="false">IFERROR(INDEX(12_Estadísticas!$C$5:$C$59,MATCH($A14,12_Estadísticas!$A$5:$A$59,0)),"")</f>
        <v>0</v>
      </c>
      <c r="I14" s="18" t="str">
        <f aca="false">IFERROR(H14/SUMIF($C$5:$C$59,C14,$H$5:$H$59),"")</f>
        <v/>
      </c>
      <c r="J14" s="12" t="n">
        <f aca="false">IFERROR(AVERAGEIF($C$5:$C$59,C14,$H$5:$H$59),"")</f>
        <v>0</v>
      </c>
      <c r="K14" s="12" t="str">
        <f aca="false">IFERROR(AVERAGEIF($C$5:$C$59,C14,$F$5:$F$59),"")</f>
        <v/>
      </c>
      <c r="L14" s="12" t="str">
        <f aca="false">IF(OR(D14="",E14="",H14=""),"Sin datos",IF(AND(H14&gt;=J14,F14&gt;=K14),"Estrella",IF(AND(H14&gt;=J14,F14&lt;K14),"Caballo de batalla",IF(AND(H14&lt;J14,F14&gt;=K14),"Incógnita","Perro"))))</f>
        <v>Sin datos</v>
      </c>
      <c r="M14" s="12" t="str">
        <f aca="false">IF(L14="Estrella","Mantener visibilidad",IF(L14="Caballo de batalla","Optimizar margen",IF(L14="Puzzle","Aumentar visibilidad",IF(L14="Perro","Revisar continuidad","Esperar datos"))))</f>
        <v>Esperar datos</v>
      </c>
      <c r="N14" s="12" t="str">
        <f aca="false">IF(L14="Estrella","Más pedido",IF(L14="Puzzle","Recomendado",IF(L14="Caballo de batalla","Clásico",IF(L14="Perro","",""))))</f>
        <v/>
      </c>
      <c r="O14" s="20"/>
      <c r="P14" s="20"/>
      <c r="Q14" s="2"/>
      <c r="R14" s="2"/>
      <c r="S14" s="2"/>
      <c r="T14" s="2"/>
      <c r="U14" s="2"/>
      <c r="V14" s="2"/>
      <c r="W14" s="2"/>
      <c r="X14" s="2"/>
      <c r="Y14" s="2"/>
      <c r="Z14" s="2"/>
    </row>
    <row r="15" customFormat="false" ht="42" hidden="false" customHeight="true" outlineLevel="0" collapsed="false">
      <c r="A15" s="12" t="s">
        <v>200</v>
      </c>
      <c r="B15" s="12" t="s">
        <v>201</v>
      </c>
      <c r="C15" s="12" t="s">
        <v>41</v>
      </c>
      <c r="D15" s="17" t="n">
        <f aca="false">IFERROR(INDEX(04_Precios!$D$5:$D$59,MATCH($A15,04_Precios!$A$5:$A$59,0)),"")</f>
        <v>0</v>
      </c>
      <c r="E15" s="17" t="n">
        <f aca="false">IFERROR(INDEX(04_Precios!$H$5:$H$59,MATCH($A15,04_Precios!$A$5:$A$59,0)),"")</f>
        <v>0</v>
      </c>
      <c r="F15" s="17" t="str">
        <f aca="false">IF(OR(D15="",E15=""),"",D15-E15)</f>
        <v/>
      </c>
      <c r="G15" s="18" t="str">
        <f aca="false">IFERROR(F15/D15,"")</f>
        <v/>
      </c>
      <c r="H15" s="12" t="n">
        <f aca="false">IFERROR(INDEX(12_Estadísticas!$C$5:$C$59,MATCH($A15,12_Estadísticas!$A$5:$A$59,0)),"")</f>
        <v>0</v>
      </c>
      <c r="I15" s="18" t="str">
        <f aca="false">IFERROR(H15/SUMIF($C$5:$C$59,C15,$H$5:$H$59),"")</f>
        <v/>
      </c>
      <c r="J15" s="12" t="n">
        <f aca="false">IFERROR(AVERAGEIF($C$5:$C$59,C15,$H$5:$H$59),"")</f>
        <v>0</v>
      </c>
      <c r="K15" s="12" t="str">
        <f aca="false">IFERROR(AVERAGEIF($C$5:$C$59,C15,$F$5:$F$59),"")</f>
        <v/>
      </c>
      <c r="L15" s="12" t="str">
        <f aca="false">IF(OR(D15="",E15="",H15=""),"Sin datos",IF(AND(H15&gt;=J15,F15&gt;=K15),"Estrella",IF(AND(H15&gt;=J15,F15&lt;K15),"Caballo de batalla",IF(AND(H15&lt;J15,F15&gt;=K15),"Incógnita","Perro"))))</f>
        <v>Sin datos</v>
      </c>
      <c r="M15" s="12" t="str">
        <f aca="false">IF(L15="Estrella","Mantener visibilidad",IF(L15="Caballo de batalla","Optimizar margen",IF(L15="Puzzle","Aumentar visibilidad",IF(L15="Perro","Revisar continuidad","Esperar datos"))))</f>
        <v>Esperar datos</v>
      </c>
      <c r="N15" s="12" t="str">
        <f aca="false">IF(L15="Estrella","Más pedido",IF(L15="Puzzle","Recomendado",IF(L15="Caballo de batalla","Clásico",IF(L15="Perro","",""))))</f>
        <v/>
      </c>
      <c r="O15" s="20"/>
      <c r="P15" s="20"/>
      <c r="Q15" s="2"/>
      <c r="R15" s="2"/>
      <c r="S15" s="2"/>
      <c r="T15" s="2"/>
      <c r="U15" s="2"/>
      <c r="V15" s="2"/>
      <c r="W15" s="2"/>
      <c r="X15" s="2"/>
      <c r="Y15" s="2"/>
      <c r="Z15" s="2"/>
    </row>
    <row r="16" customFormat="false" ht="42" hidden="false" customHeight="true" outlineLevel="0" collapsed="false">
      <c r="A16" s="12" t="s">
        <v>208</v>
      </c>
      <c r="B16" s="12" t="s">
        <v>209</v>
      </c>
      <c r="C16" s="12" t="s">
        <v>43</v>
      </c>
      <c r="D16" s="17" t="n">
        <f aca="false">IFERROR(INDEX(04_Precios!$D$5:$D$59,MATCH($A16,04_Precios!$A$5:$A$59,0)),"")</f>
        <v>0</v>
      </c>
      <c r="E16" s="17" t="n">
        <f aca="false">IFERROR(INDEX(04_Precios!$H$5:$H$59,MATCH($A16,04_Precios!$A$5:$A$59,0)),"")</f>
        <v>0</v>
      </c>
      <c r="F16" s="17" t="str">
        <f aca="false">IF(OR(D16="",E16=""),"",D16-E16)</f>
        <v/>
      </c>
      <c r="G16" s="18" t="str">
        <f aca="false">IFERROR(F16/D16,"")</f>
        <v/>
      </c>
      <c r="H16" s="12" t="n">
        <f aca="false">IFERROR(INDEX(12_Estadísticas!$C$5:$C$59,MATCH($A16,12_Estadísticas!$A$5:$A$59,0)),"")</f>
        <v>0</v>
      </c>
      <c r="I16" s="18" t="str">
        <f aca="false">IFERROR(H16/SUMIF($C$5:$C$59,C16,$H$5:$H$59),"")</f>
        <v/>
      </c>
      <c r="J16" s="12" t="n">
        <f aca="false">IFERROR(AVERAGEIF($C$5:$C$59,C16,$H$5:$H$59),"")</f>
        <v>0</v>
      </c>
      <c r="K16" s="12" t="str">
        <f aca="false">IFERROR(AVERAGEIF($C$5:$C$59,C16,$F$5:$F$59),"")</f>
        <v/>
      </c>
      <c r="L16" s="12" t="str">
        <f aca="false">IF(OR(D16="",E16="",H16=""),"Sin datos",IF(AND(H16&gt;=J16,F16&gt;=K16),"Estrella",IF(AND(H16&gt;=J16,F16&lt;K16),"Caballo de batalla",IF(AND(H16&lt;J16,F16&gt;=K16),"Incógnita","Perro"))))</f>
        <v>Sin datos</v>
      </c>
      <c r="M16" s="12" t="str">
        <f aca="false">IF(L16="Estrella","Mantener visibilidad",IF(L16="Caballo de batalla","Optimizar margen",IF(L16="Puzzle","Aumentar visibilidad",IF(L16="Perro","Revisar continuidad","Esperar datos"))))</f>
        <v>Esperar datos</v>
      </c>
      <c r="N16" s="12" t="str">
        <f aca="false">IF(L16="Estrella","Más pedido",IF(L16="Puzzle","Recomendado",IF(L16="Caballo de batalla","Clásico",IF(L16="Perro","",""))))</f>
        <v/>
      </c>
      <c r="O16" s="20"/>
      <c r="P16" s="20"/>
      <c r="Q16" s="2"/>
      <c r="R16" s="2"/>
      <c r="S16" s="2"/>
      <c r="T16" s="2"/>
      <c r="U16" s="2"/>
      <c r="V16" s="2"/>
      <c r="W16" s="2"/>
      <c r="X16" s="2"/>
      <c r="Y16" s="2"/>
      <c r="Z16" s="2"/>
    </row>
    <row r="17" customFormat="false" ht="42" hidden="false" customHeight="true" outlineLevel="0" collapsed="false">
      <c r="A17" s="12" t="s">
        <v>219</v>
      </c>
      <c r="B17" s="12" t="s">
        <v>220</v>
      </c>
      <c r="C17" s="12" t="s">
        <v>45</v>
      </c>
      <c r="D17" s="17" t="n">
        <f aca="false">IFERROR(INDEX(04_Precios!$D$5:$D$59,MATCH($A17,04_Precios!$A$5:$A$59,0)),"")</f>
        <v>0</v>
      </c>
      <c r="E17" s="17" t="n">
        <f aca="false">IFERROR(INDEX(04_Precios!$H$5:$H$59,MATCH($A17,04_Precios!$A$5:$A$59,0)),"")</f>
        <v>0</v>
      </c>
      <c r="F17" s="17" t="str">
        <f aca="false">IF(OR(D17="",E17=""),"",D17-E17)</f>
        <v/>
      </c>
      <c r="G17" s="18" t="str">
        <f aca="false">IFERROR(F17/D17,"")</f>
        <v/>
      </c>
      <c r="H17" s="12" t="n">
        <f aca="false">IFERROR(INDEX(12_Estadísticas!$C$5:$C$59,MATCH($A17,12_Estadísticas!$A$5:$A$59,0)),"")</f>
        <v>0</v>
      </c>
      <c r="I17" s="18" t="str">
        <f aca="false">IFERROR(H17/SUMIF($C$5:$C$59,C17,$H$5:$H$59),"")</f>
        <v/>
      </c>
      <c r="J17" s="12" t="n">
        <f aca="false">IFERROR(AVERAGEIF($C$5:$C$59,C17,$H$5:$H$59),"")</f>
        <v>0</v>
      </c>
      <c r="K17" s="12" t="str">
        <f aca="false">IFERROR(AVERAGEIF($C$5:$C$59,C17,$F$5:$F$59),"")</f>
        <v/>
      </c>
      <c r="L17" s="12" t="str">
        <f aca="false">IF(OR(D17="",E17="",H17=""),"Sin datos",IF(AND(H17&gt;=J17,F17&gt;=K17),"Estrella",IF(AND(H17&gt;=J17,F17&lt;K17),"Caballo de batalla",IF(AND(H17&lt;J17,F17&gt;=K17),"Incógnita","Perro"))))</f>
        <v>Sin datos</v>
      </c>
      <c r="M17" s="12" t="str">
        <f aca="false">IF(L17="Estrella","Mantener visibilidad",IF(L17="Caballo de batalla","Optimizar margen",IF(L17="Puzzle","Aumentar visibilidad",IF(L17="Perro","Revisar continuidad","Esperar datos"))))</f>
        <v>Esperar datos</v>
      </c>
      <c r="N17" s="12" t="str">
        <f aca="false">IF(L17="Estrella","Más pedido",IF(L17="Puzzle","Recomendado",IF(L17="Caballo de batalla","Clásico",IF(L17="Perro","",""))))</f>
        <v/>
      </c>
      <c r="O17" s="20"/>
      <c r="P17" s="20"/>
      <c r="Q17" s="2"/>
      <c r="R17" s="2"/>
      <c r="S17" s="2"/>
      <c r="T17" s="2"/>
      <c r="U17" s="2"/>
      <c r="V17" s="2"/>
      <c r="W17" s="2"/>
      <c r="X17" s="2"/>
      <c r="Y17" s="2"/>
      <c r="Z17" s="2"/>
    </row>
    <row r="18" customFormat="false" ht="42" hidden="false" customHeight="true" outlineLevel="0" collapsed="false">
      <c r="A18" s="12" t="s">
        <v>230</v>
      </c>
      <c r="B18" s="12" t="s">
        <v>231</v>
      </c>
      <c r="C18" s="12" t="s">
        <v>45</v>
      </c>
      <c r="D18" s="17" t="n">
        <f aca="false">IFERROR(INDEX(04_Precios!$D$5:$D$59,MATCH($A18,04_Precios!$A$5:$A$59,0)),"")</f>
        <v>0</v>
      </c>
      <c r="E18" s="17" t="n">
        <f aca="false">IFERROR(INDEX(04_Precios!$H$5:$H$59,MATCH($A18,04_Precios!$A$5:$A$59,0)),"")</f>
        <v>0</v>
      </c>
      <c r="F18" s="17" t="str">
        <f aca="false">IF(OR(D18="",E18=""),"",D18-E18)</f>
        <v/>
      </c>
      <c r="G18" s="18" t="str">
        <f aca="false">IFERROR(F18/D18,"")</f>
        <v/>
      </c>
      <c r="H18" s="12" t="n">
        <f aca="false">IFERROR(INDEX(12_Estadísticas!$C$5:$C$59,MATCH($A18,12_Estadísticas!$A$5:$A$59,0)),"")</f>
        <v>0</v>
      </c>
      <c r="I18" s="18" t="str">
        <f aca="false">IFERROR(H18/SUMIF($C$5:$C$59,C18,$H$5:$H$59),"")</f>
        <v/>
      </c>
      <c r="J18" s="12" t="n">
        <f aca="false">IFERROR(AVERAGEIF($C$5:$C$59,C18,$H$5:$H$59),"")</f>
        <v>0</v>
      </c>
      <c r="K18" s="12" t="str">
        <f aca="false">IFERROR(AVERAGEIF($C$5:$C$59,C18,$F$5:$F$59),"")</f>
        <v/>
      </c>
      <c r="L18" s="12" t="str">
        <f aca="false">IF(OR(D18="",E18="",H18=""),"Sin datos",IF(AND(H18&gt;=J18,F18&gt;=K18),"Estrella",IF(AND(H18&gt;=J18,F18&lt;K18),"Caballo de batalla",IF(AND(H18&lt;J18,F18&gt;=K18),"Incógnita","Perro"))))</f>
        <v>Sin datos</v>
      </c>
      <c r="M18" s="12" t="str">
        <f aca="false">IF(L18="Estrella","Mantener visibilidad",IF(L18="Caballo de batalla","Optimizar margen",IF(L18="Puzzle","Aumentar visibilidad",IF(L18="Perro","Revisar continuidad","Esperar datos"))))</f>
        <v>Esperar datos</v>
      </c>
      <c r="N18" s="12" t="str">
        <f aca="false">IF(L18="Estrella","Más pedido",IF(L18="Puzzle","Recomendado",IF(L18="Caballo de batalla","Clásico",IF(L18="Perro","",""))))</f>
        <v/>
      </c>
      <c r="O18" s="20"/>
      <c r="P18" s="20"/>
      <c r="Q18" s="2"/>
      <c r="R18" s="2"/>
      <c r="S18" s="2"/>
      <c r="T18" s="2"/>
      <c r="U18" s="2"/>
      <c r="V18" s="2"/>
      <c r="W18" s="2"/>
      <c r="X18" s="2"/>
      <c r="Y18" s="2"/>
      <c r="Z18" s="2"/>
    </row>
    <row r="19" customFormat="false" ht="42" hidden="false" customHeight="true" outlineLevel="0" collapsed="false">
      <c r="A19" s="12" t="s">
        <v>241</v>
      </c>
      <c r="B19" s="12" t="s">
        <v>242</v>
      </c>
      <c r="C19" s="12" t="s">
        <v>45</v>
      </c>
      <c r="D19" s="17" t="n">
        <f aca="false">IFERROR(INDEX(04_Precios!$D$5:$D$59,MATCH($A19,04_Precios!$A$5:$A$59,0)),"")</f>
        <v>0</v>
      </c>
      <c r="E19" s="17" t="n">
        <f aca="false">IFERROR(INDEX(04_Precios!$H$5:$H$59,MATCH($A19,04_Precios!$A$5:$A$59,0)),"")</f>
        <v>0</v>
      </c>
      <c r="F19" s="17" t="str">
        <f aca="false">IF(OR(D19="",E19=""),"",D19-E19)</f>
        <v/>
      </c>
      <c r="G19" s="18" t="str">
        <f aca="false">IFERROR(F19/D19,"")</f>
        <v/>
      </c>
      <c r="H19" s="12" t="n">
        <f aca="false">IFERROR(INDEX(12_Estadísticas!$C$5:$C$59,MATCH($A19,12_Estadísticas!$A$5:$A$59,0)),"")</f>
        <v>0</v>
      </c>
      <c r="I19" s="18" t="str">
        <f aca="false">IFERROR(H19/SUMIF($C$5:$C$59,C19,$H$5:$H$59),"")</f>
        <v/>
      </c>
      <c r="J19" s="12" t="n">
        <f aca="false">IFERROR(AVERAGEIF($C$5:$C$59,C19,$H$5:$H$59),"")</f>
        <v>0</v>
      </c>
      <c r="K19" s="12" t="str">
        <f aca="false">IFERROR(AVERAGEIF($C$5:$C$59,C19,$F$5:$F$59),"")</f>
        <v/>
      </c>
      <c r="L19" s="12" t="str">
        <f aca="false">IF(OR(D19="",E19="",H19=""),"Sin datos",IF(AND(H19&gt;=J19,F19&gt;=K19),"Estrella",IF(AND(H19&gt;=J19,F19&lt;K19),"Caballo de batalla",IF(AND(H19&lt;J19,F19&gt;=K19),"Incógnita","Perro"))))</f>
        <v>Sin datos</v>
      </c>
      <c r="M19" s="12" t="str">
        <f aca="false">IF(L19="Estrella","Mantener visibilidad",IF(L19="Caballo de batalla","Optimizar margen",IF(L19="Puzzle","Aumentar visibilidad",IF(L19="Perro","Revisar continuidad","Esperar datos"))))</f>
        <v>Esperar datos</v>
      </c>
      <c r="N19" s="12" t="str">
        <f aca="false">IF(L19="Estrella","Más pedido",IF(L19="Puzzle","Recomendado",IF(L19="Caballo de batalla","Clásico",IF(L19="Perro","",""))))</f>
        <v/>
      </c>
      <c r="O19" s="20"/>
      <c r="P19" s="20"/>
      <c r="Q19" s="2"/>
      <c r="R19" s="2"/>
      <c r="S19" s="2"/>
      <c r="T19" s="2"/>
      <c r="U19" s="2"/>
      <c r="V19" s="2"/>
      <c r="W19" s="2"/>
      <c r="X19" s="2"/>
      <c r="Y19" s="2"/>
      <c r="Z19" s="2"/>
    </row>
    <row r="20" customFormat="false" ht="42" hidden="false" customHeight="true" outlineLevel="0" collapsed="false">
      <c r="A20" s="12" t="s">
        <v>252</v>
      </c>
      <c r="B20" s="12" t="s">
        <v>253</v>
      </c>
      <c r="C20" s="12" t="s">
        <v>47</v>
      </c>
      <c r="D20" s="17" t="n">
        <f aca="false">IFERROR(INDEX(04_Precios!$D$5:$D$59,MATCH($A20,04_Precios!$A$5:$A$59,0)),"")</f>
        <v>0</v>
      </c>
      <c r="E20" s="17" t="n">
        <f aca="false">IFERROR(INDEX(04_Precios!$H$5:$H$59,MATCH($A20,04_Precios!$A$5:$A$59,0)),"")</f>
        <v>0</v>
      </c>
      <c r="F20" s="17" t="str">
        <f aca="false">IF(OR(D20="",E20=""),"",D20-E20)</f>
        <v/>
      </c>
      <c r="G20" s="18" t="str">
        <f aca="false">IFERROR(F20/D20,"")</f>
        <v/>
      </c>
      <c r="H20" s="12" t="n">
        <f aca="false">IFERROR(INDEX(12_Estadísticas!$C$5:$C$59,MATCH($A20,12_Estadísticas!$A$5:$A$59,0)),"")</f>
        <v>0</v>
      </c>
      <c r="I20" s="18" t="str">
        <f aca="false">IFERROR(H20/SUMIF($C$5:$C$59,C20,$H$5:$H$59),"")</f>
        <v/>
      </c>
      <c r="J20" s="12" t="n">
        <f aca="false">IFERROR(AVERAGEIF($C$5:$C$59,C20,$H$5:$H$59),"")</f>
        <v>0</v>
      </c>
      <c r="K20" s="12" t="str">
        <f aca="false">IFERROR(AVERAGEIF($C$5:$C$59,C20,$F$5:$F$59),"")</f>
        <v/>
      </c>
      <c r="L20" s="12" t="str">
        <f aca="false">IF(OR(D20="",E20="",H20=""),"Sin datos",IF(AND(H20&gt;=J20,F20&gt;=K20),"Estrella",IF(AND(H20&gt;=J20,F20&lt;K20),"Caballo de batalla",IF(AND(H20&lt;J20,F20&gt;=K20),"Incógnita","Perro"))))</f>
        <v>Sin datos</v>
      </c>
      <c r="M20" s="12" t="str">
        <f aca="false">IF(L20="Estrella","Mantener visibilidad",IF(L20="Caballo de batalla","Optimizar margen",IF(L20="Puzzle","Aumentar visibilidad",IF(L20="Perro","Revisar continuidad","Esperar datos"))))</f>
        <v>Esperar datos</v>
      </c>
      <c r="N20" s="12" t="str">
        <f aca="false">IF(L20="Estrella","Más pedido",IF(L20="Puzzle","Recomendado",IF(L20="Caballo de batalla","Clásico",IF(L20="Perro","",""))))</f>
        <v/>
      </c>
      <c r="O20" s="20"/>
      <c r="P20" s="20"/>
      <c r="Q20" s="2"/>
      <c r="R20" s="2"/>
      <c r="S20" s="2"/>
      <c r="T20" s="2"/>
      <c r="U20" s="2"/>
      <c r="V20" s="2"/>
      <c r="W20" s="2"/>
      <c r="X20" s="2"/>
      <c r="Y20" s="2"/>
      <c r="Z20" s="2"/>
    </row>
    <row r="21" customFormat="false" ht="42" hidden="false" customHeight="true" outlineLevel="0" collapsed="false">
      <c r="A21" s="12" t="s">
        <v>263</v>
      </c>
      <c r="B21" s="12" t="s">
        <v>264</v>
      </c>
      <c r="C21" s="12" t="s">
        <v>47</v>
      </c>
      <c r="D21" s="17" t="n">
        <f aca="false">IFERROR(INDEX(04_Precios!$D$5:$D$59,MATCH($A21,04_Precios!$A$5:$A$59,0)),"")</f>
        <v>0</v>
      </c>
      <c r="E21" s="17" t="n">
        <f aca="false">IFERROR(INDEX(04_Precios!$H$5:$H$59,MATCH($A21,04_Precios!$A$5:$A$59,0)),"")</f>
        <v>0</v>
      </c>
      <c r="F21" s="17" t="str">
        <f aca="false">IF(OR(D21="",E21=""),"",D21-E21)</f>
        <v/>
      </c>
      <c r="G21" s="18" t="str">
        <f aca="false">IFERROR(F21/D21,"")</f>
        <v/>
      </c>
      <c r="H21" s="12" t="n">
        <f aca="false">IFERROR(INDEX(12_Estadísticas!$C$5:$C$59,MATCH($A21,12_Estadísticas!$A$5:$A$59,0)),"")</f>
        <v>0</v>
      </c>
      <c r="I21" s="18" t="str">
        <f aca="false">IFERROR(H21/SUMIF($C$5:$C$59,C21,$H$5:$H$59),"")</f>
        <v/>
      </c>
      <c r="J21" s="12" t="n">
        <f aca="false">IFERROR(AVERAGEIF($C$5:$C$59,C21,$H$5:$H$59),"")</f>
        <v>0</v>
      </c>
      <c r="K21" s="12" t="str">
        <f aca="false">IFERROR(AVERAGEIF($C$5:$C$59,C21,$F$5:$F$59),"")</f>
        <v/>
      </c>
      <c r="L21" s="12" t="str">
        <f aca="false">IF(OR(D21="",E21="",H21=""),"Sin datos",IF(AND(H21&gt;=J21,F21&gt;=K21),"Estrella",IF(AND(H21&gt;=J21,F21&lt;K21),"Caballo de batalla",IF(AND(H21&lt;J21,F21&gt;=K21),"Incógnita","Perro"))))</f>
        <v>Sin datos</v>
      </c>
      <c r="M21" s="12" t="str">
        <f aca="false">IF(L21="Estrella","Mantener visibilidad",IF(L21="Caballo de batalla","Optimizar margen",IF(L21="Puzzle","Aumentar visibilidad",IF(L21="Perro","Revisar continuidad","Esperar datos"))))</f>
        <v>Esperar datos</v>
      </c>
      <c r="N21" s="12" t="str">
        <f aca="false">IF(L21="Estrella","Más pedido",IF(L21="Puzzle","Recomendado",IF(L21="Caballo de batalla","Clásico",IF(L21="Perro","",""))))</f>
        <v/>
      </c>
      <c r="O21" s="20"/>
      <c r="P21" s="20"/>
      <c r="Q21" s="2"/>
      <c r="R21" s="2"/>
      <c r="S21" s="2"/>
      <c r="T21" s="2"/>
      <c r="U21" s="2"/>
      <c r="V21" s="2"/>
      <c r="W21" s="2"/>
      <c r="X21" s="2"/>
      <c r="Y21" s="2"/>
      <c r="Z21" s="2"/>
    </row>
    <row r="22" customFormat="false" ht="42" hidden="false" customHeight="true" outlineLevel="0" collapsed="false">
      <c r="A22" s="12" t="s">
        <v>274</v>
      </c>
      <c r="B22" s="12" t="s">
        <v>275</v>
      </c>
      <c r="C22" s="12" t="s">
        <v>47</v>
      </c>
      <c r="D22" s="17" t="n">
        <f aca="false">IFERROR(INDEX(04_Precios!$D$5:$D$59,MATCH($A22,04_Precios!$A$5:$A$59,0)),"")</f>
        <v>0</v>
      </c>
      <c r="E22" s="17" t="n">
        <f aca="false">IFERROR(INDEX(04_Precios!$H$5:$H$59,MATCH($A22,04_Precios!$A$5:$A$59,0)),"")</f>
        <v>0</v>
      </c>
      <c r="F22" s="17" t="str">
        <f aca="false">IF(OR(D22="",E22=""),"",D22-E22)</f>
        <v/>
      </c>
      <c r="G22" s="18" t="str">
        <f aca="false">IFERROR(F22/D22,"")</f>
        <v/>
      </c>
      <c r="H22" s="12" t="n">
        <f aca="false">IFERROR(INDEX(12_Estadísticas!$C$5:$C$59,MATCH($A22,12_Estadísticas!$A$5:$A$59,0)),"")</f>
        <v>0</v>
      </c>
      <c r="I22" s="18" t="str">
        <f aca="false">IFERROR(H22/SUMIF($C$5:$C$59,C22,$H$5:$H$59),"")</f>
        <v/>
      </c>
      <c r="J22" s="12" t="n">
        <f aca="false">IFERROR(AVERAGEIF($C$5:$C$59,C22,$H$5:$H$59),"")</f>
        <v>0</v>
      </c>
      <c r="K22" s="12" t="str">
        <f aca="false">IFERROR(AVERAGEIF($C$5:$C$59,C22,$F$5:$F$59),"")</f>
        <v/>
      </c>
      <c r="L22" s="12" t="str">
        <f aca="false">IF(OR(D22="",E22="",H22=""),"Sin datos",IF(AND(H22&gt;=J22,F22&gt;=K22),"Estrella",IF(AND(H22&gt;=J22,F22&lt;K22),"Caballo de batalla",IF(AND(H22&lt;J22,F22&gt;=K22),"Incógnita","Perro"))))</f>
        <v>Sin datos</v>
      </c>
      <c r="M22" s="12" t="str">
        <f aca="false">IF(L22="Estrella","Mantener visibilidad",IF(L22="Caballo de batalla","Optimizar margen",IF(L22="Puzzle","Aumentar visibilidad",IF(L22="Perro","Revisar continuidad","Esperar datos"))))</f>
        <v>Esperar datos</v>
      </c>
      <c r="N22" s="12" t="str">
        <f aca="false">IF(L22="Estrella","Más pedido",IF(L22="Puzzle","Recomendado",IF(L22="Caballo de batalla","Clásico",IF(L22="Perro","",""))))</f>
        <v/>
      </c>
      <c r="O22" s="20"/>
      <c r="P22" s="20"/>
      <c r="Q22" s="2"/>
      <c r="R22" s="2"/>
      <c r="S22" s="2"/>
      <c r="T22" s="2"/>
      <c r="U22" s="2"/>
      <c r="V22" s="2"/>
      <c r="W22" s="2"/>
      <c r="X22" s="2"/>
      <c r="Y22" s="2"/>
      <c r="Z22" s="2"/>
    </row>
    <row r="23" customFormat="false" ht="42" hidden="false" customHeight="true" outlineLevel="0" collapsed="false">
      <c r="A23" s="12" t="s">
        <v>285</v>
      </c>
      <c r="B23" s="12" t="s">
        <v>286</v>
      </c>
      <c r="C23" s="12" t="s">
        <v>47</v>
      </c>
      <c r="D23" s="17" t="n">
        <f aca="false">IFERROR(INDEX(04_Precios!$D$5:$D$59,MATCH($A23,04_Precios!$A$5:$A$59,0)),"")</f>
        <v>0</v>
      </c>
      <c r="E23" s="17" t="n">
        <f aca="false">IFERROR(INDEX(04_Precios!$H$5:$H$59,MATCH($A23,04_Precios!$A$5:$A$59,0)),"")</f>
        <v>0</v>
      </c>
      <c r="F23" s="17" t="str">
        <f aca="false">IF(OR(D23="",E23=""),"",D23-E23)</f>
        <v/>
      </c>
      <c r="G23" s="18" t="str">
        <f aca="false">IFERROR(F23/D23,"")</f>
        <v/>
      </c>
      <c r="H23" s="12" t="n">
        <f aca="false">IFERROR(INDEX(12_Estadísticas!$C$5:$C$59,MATCH($A23,12_Estadísticas!$A$5:$A$59,0)),"")</f>
        <v>0</v>
      </c>
      <c r="I23" s="18" t="str">
        <f aca="false">IFERROR(H23/SUMIF($C$5:$C$59,C23,$H$5:$H$59),"")</f>
        <v/>
      </c>
      <c r="J23" s="12" t="n">
        <f aca="false">IFERROR(AVERAGEIF($C$5:$C$59,C23,$H$5:$H$59),"")</f>
        <v>0</v>
      </c>
      <c r="K23" s="12" t="str">
        <f aca="false">IFERROR(AVERAGEIF($C$5:$C$59,C23,$F$5:$F$59),"")</f>
        <v/>
      </c>
      <c r="L23" s="12" t="str">
        <f aca="false">IF(OR(D23="",E23="",H23=""),"Sin datos",IF(AND(H23&gt;=J23,F23&gt;=K23),"Estrella",IF(AND(H23&gt;=J23,F23&lt;K23),"Caballo de batalla",IF(AND(H23&lt;J23,F23&gt;=K23),"Incógnita","Perro"))))</f>
        <v>Sin datos</v>
      </c>
      <c r="M23" s="12" t="str">
        <f aca="false">IF(L23="Estrella","Mantener visibilidad",IF(L23="Caballo de batalla","Optimizar margen",IF(L23="Puzzle","Aumentar visibilidad",IF(L23="Perro","Revisar continuidad","Esperar datos"))))</f>
        <v>Esperar datos</v>
      </c>
      <c r="N23" s="12" t="str">
        <f aca="false">IF(L23="Estrella","Más pedido",IF(L23="Puzzle","Recomendado",IF(L23="Caballo de batalla","Clásico",IF(L23="Perro","",""))))</f>
        <v/>
      </c>
      <c r="O23" s="20"/>
      <c r="P23" s="20"/>
      <c r="Q23" s="2"/>
      <c r="R23" s="2"/>
      <c r="S23" s="2"/>
      <c r="T23" s="2"/>
      <c r="U23" s="2"/>
      <c r="V23" s="2"/>
      <c r="W23" s="2"/>
      <c r="X23" s="2"/>
      <c r="Y23" s="2"/>
      <c r="Z23" s="2"/>
    </row>
    <row r="24" customFormat="false" ht="42" hidden="false" customHeight="true" outlineLevel="0" collapsed="false">
      <c r="A24" s="12" t="s">
        <v>296</v>
      </c>
      <c r="B24" s="12" t="s">
        <v>297</v>
      </c>
      <c r="C24" s="12" t="s">
        <v>49</v>
      </c>
      <c r="D24" s="17" t="n">
        <f aca="false">IFERROR(INDEX(04_Precios!$D$5:$D$59,MATCH($A24,04_Precios!$A$5:$A$59,0)),"")</f>
        <v>0</v>
      </c>
      <c r="E24" s="17" t="n">
        <f aca="false">IFERROR(INDEX(04_Precios!$H$5:$H$59,MATCH($A24,04_Precios!$A$5:$A$59,0)),"")</f>
        <v>0</v>
      </c>
      <c r="F24" s="17" t="str">
        <f aca="false">IF(OR(D24="",E24=""),"",D24-E24)</f>
        <v/>
      </c>
      <c r="G24" s="18" t="str">
        <f aca="false">IFERROR(F24/D24,"")</f>
        <v/>
      </c>
      <c r="H24" s="12" t="n">
        <f aca="false">IFERROR(INDEX(12_Estadísticas!$C$5:$C$59,MATCH($A24,12_Estadísticas!$A$5:$A$59,0)),"")</f>
        <v>0</v>
      </c>
      <c r="I24" s="18" t="str">
        <f aca="false">IFERROR(H24/SUMIF($C$5:$C$59,C24,$H$5:$H$59),"")</f>
        <v/>
      </c>
      <c r="J24" s="12" t="n">
        <f aca="false">IFERROR(AVERAGEIF($C$5:$C$59,C24,$H$5:$H$59),"")</f>
        <v>0</v>
      </c>
      <c r="K24" s="12" t="str">
        <f aca="false">IFERROR(AVERAGEIF($C$5:$C$59,C24,$F$5:$F$59),"")</f>
        <v/>
      </c>
      <c r="L24" s="12" t="str">
        <f aca="false">IF(OR(D24="",E24="",H24=""),"Sin datos",IF(AND(H24&gt;=J24,F24&gt;=K24),"Estrella",IF(AND(H24&gt;=J24,F24&lt;K24),"Caballo de batalla",IF(AND(H24&lt;J24,F24&gt;=K24),"Incógnita","Perro"))))</f>
        <v>Sin datos</v>
      </c>
      <c r="M24" s="12" t="str">
        <f aca="false">IF(L24="Estrella","Mantener visibilidad",IF(L24="Caballo de batalla","Optimizar margen",IF(L24="Puzzle","Aumentar visibilidad",IF(L24="Perro","Revisar continuidad","Esperar datos"))))</f>
        <v>Esperar datos</v>
      </c>
      <c r="N24" s="12" t="str">
        <f aca="false">IF(L24="Estrella","Más pedido",IF(L24="Puzzle","Recomendado",IF(L24="Caballo de batalla","Clásico",IF(L24="Perro","",""))))</f>
        <v/>
      </c>
      <c r="O24" s="20"/>
      <c r="P24" s="20"/>
      <c r="Q24" s="2"/>
      <c r="R24" s="2"/>
      <c r="S24" s="2"/>
      <c r="T24" s="2"/>
      <c r="U24" s="2"/>
      <c r="V24" s="2"/>
      <c r="W24" s="2"/>
      <c r="X24" s="2"/>
      <c r="Y24" s="2"/>
      <c r="Z24" s="2"/>
    </row>
    <row r="25" customFormat="false" ht="42" hidden="false" customHeight="true" outlineLevel="0" collapsed="false">
      <c r="A25" s="12" t="s">
        <v>306</v>
      </c>
      <c r="B25" s="12" t="s">
        <v>307</v>
      </c>
      <c r="C25" s="12" t="s">
        <v>49</v>
      </c>
      <c r="D25" s="17" t="n">
        <f aca="false">IFERROR(INDEX(04_Precios!$D$5:$D$59,MATCH($A25,04_Precios!$A$5:$A$59,0)),"")</f>
        <v>0</v>
      </c>
      <c r="E25" s="17" t="n">
        <f aca="false">IFERROR(INDEX(04_Precios!$H$5:$H$59,MATCH($A25,04_Precios!$A$5:$A$59,0)),"")</f>
        <v>0</v>
      </c>
      <c r="F25" s="17" t="str">
        <f aca="false">IF(OR(D25="",E25=""),"",D25-E25)</f>
        <v/>
      </c>
      <c r="G25" s="18" t="str">
        <f aca="false">IFERROR(F25/D25,"")</f>
        <v/>
      </c>
      <c r="H25" s="12" t="n">
        <f aca="false">IFERROR(INDEX(12_Estadísticas!$C$5:$C$59,MATCH($A25,12_Estadísticas!$A$5:$A$59,0)),"")</f>
        <v>0</v>
      </c>
      <c r="I25" s="18" t="str">
        <f aca="false">IFERROR(H25/SUMIF($C$5:$C$59,C25,$H$5:$H$59),"")</f>
        <v/>
      </c>
      <c r="J25" s="12" t="n">
        <f aca="false">IFERROR(AVERAGEIF($C$5:$C$59,C25,$H$5:$H$59),"")</f>
        <v>0</v>
      </c>
      <c r="K25" s="12" t="str">
        <f aca="false">IFERROR(AVERAGEIF($C$5:$C$59,C25,$F$5:$F$59),"")</f>
        <v/>
      </c>
      <c r="L25" s="12" t="str">
        <f aca="false">IF(OR(D25="",E25="",H25=""),"Sin datos",IF(AND(H25&gt;=J25,F25&gt;=K25),"Estrella",IF(AND(H25&gt;=J25,F25&lt;K25),"Caballo de batalla",IF(AND(H25&lt;J25,F25&gt;=K25),"Incógnita","Perro"))))</f>
        <v>Sin datos</v>
      </c>
      <c r="M25" s="12" t="str">
        <f aca="false">IF(L25="Estrella","Mantener visibilidad",IF(L25="Caballo de batalla","Optimizar margen",IF(L25="Puzzle","Aumentar visibilidad",IF(L25="Perro","Revisar continuidad","Esperar datos"))))</f>
        <v>Esperar datos</v>
      </c>
      <c r="N25" s="12" t="str">
        <f aca="false">IF(L25="Estrella","Más pedido",IF(L25="Puzzle","Recomendado",IF(L25="Caballo de batalla","Clásico",IF(L25="Perro","",""))))</f>
        <v/>
      </c>
      <c r="O25" s="20"/>
      <c r="P25" s="20"/>
      <c r="Q25" s="2"/>
      <c r="R25" s="2"/>
      <c r="S25" s="2"/>
      <c r="T25" s="2"/>
      <c r="U25" s="2"/>
      <c r="V25" s="2"/>
      <c r="W25" s="2"/>
      <c r="X25" s="2"/>
      <c r="Y25" s="2"/>
      <c r="Z25" s="2"/>
    </row>
    <row r="26" customFormat="false" ht="42" hidden="false" customHeight="true" outlineLevel="0" collapsed="false">
      <c r="A26" s="12" t="s">
        <v>316</v>
      </c>
      <c r="B26" s="12" t="s">
        <v>317</v>
      </c>
      <c r="C26" s="12" t="s">
        <v>50</v>
      </c>
      <c r="D26" s="17" t="n">
        <f aca="false">IFERROR(INDEX(04_Precios!$D$5:$D$59,MATCH($A26,04_Precios!$A$5:$A$59,0)),"")</f>
        <v>0</v>
      </c>
      <c r="E26" s="17" t="n">
        <f aca="false">IFERROR(INDEX(04_Precios!$H$5:$H$59,MATCH($A26,04_Precios!$A$5:$A$59,0)),"")</f>
        <v>0</v>
      </c>
      <c r="F26" s="17" t="str">
        <f aca="false">IF(OR(D26="",E26=""),"",D26-E26)</f>
        <v/>
      </c>
      <c r="G26" s="18" t="str">
        <f aca="false">IFERROR(F26/D26,"")</f>
        <v/>
      </c>
      <c r="H26" s="12" t="n">
        <f aca="false">IFERROR(INDEX(12_Estadísticas!$C$5:$C$59,MATCH($A26,12_Estadísticas!$A$5:$A$59,0)),"")</f>
        <v>0</v>
      </c>
      <c r="I26" s="18" t="str">
        <f aca="false">IFERROR(H26/SUMIF($C$5:$C$59,C26,$H$5:$H$59),"")</f>
        <v/>
      </c>
      <c r="J26" s="12" t="n">
        <f aca="false">IFERROR(AVERAGEIF($C$5:$C$59,C26,$H$5:$H$59),"")</f>
        <v>0</v>
      </c>
      <c r="K26" s="12" t="str">
        <f aca="false">IFERROR(AVERAGEIF($C$5:$C$59,C26,$F$5:$F$59),"")</f>
        <v/>
      </c>
      <c r="L26" s="12" t="str">
        <f aca="false">IF(OR(D26="",E26="",H26=""),"Sin datos",IF(AND(H26&gt;=J26,F26&gt;=K26),"Estrella",IF(AND(H26&gt;=J26,F26&lt;K26),"Caballo de batalla",IF(AND(H26&lt;J26,F26&gt;=K26),"Incógnita","Perro"))))</f>
        <v>Sin datos</v>
      </c>
      <c r="M26" s="12" t="str">
        <f aca="false">IF(L26="Estrella","Mantener visibilidad",IF(L26="Caballo de batalla","Optimizar margen",IF(L26="Puzzle","Aumentar visibilidad",IF(L26="Perro","Revisar continuidad","Esperar datos"))))</f>
        <v>Esperar datos</v>
      </c>
      <c r="N26" s="12" t="str">
        <f aca="false">IF(L26="Estrella","Más pedido",IF(L26="Puzzle","Recomendado",IF(L26="Caballo de batalla","Clásico",IF(L26="Perro","",""))))</f>
        <v/>
      </c>
      <c r="O26" s="20"/>
      <c r="P26" s="20"/>
      <c r="Q26" s="2"/>
      <c r="R26" s="2"/>
      <c r="S26" s="2"/>
      <c r="T26" s="2"/>
      <c r="U26" s="2"/>
      <c r="V26" s="2"/>
      <c r="W26" s="2"/>
      <c r="X26" s="2"/>
      <c r="Y26" s="2"/>
      <c r="Z26" s="2"/>
    </row>
    <row r="27" customFormat="false" ht="42" hidden="false" customHeight="true" outlineLevel="0" collapsed="false">
      <c r="A27" s="12" t="s">
        <v>325</v>
      </c>
      <c r="B27" s="12" t="s">
        <v>326</v>
      </c>
      <c r="C27" s="12" t="s">
        <v>50</v>
      </c>
      <c r="D27" s="17" t="n">
        <f aca="false">IFERROR(INDEX(04_Precios!$D$5:$D$59,MATCH($A27,04_Precios!$A$5:$A$59,0)),"")</f>
        <v>0</v>
      </c>
      <c r="E27" s="17" t="n">
        <f aca="false">IFERROR(INDEX(04_Precios!$H$5:$H$59,MATCH($A27,04_Precios!$A$5:$A$59,0)),"")</f>
        <v>0</v>
      </c>
      <c r="F27" s="17" t="str">
        <f aca="false">IF(OR(D27="",E27=""),"",D27-E27)</f>
        <v/>
      </c>
      <c r="G27" s="18" t="str">
        <f aca="false">IFERROR(F27/D27,"")</f>
        <v/>
      </c>
      <c r="H27" s="12" t="n">
        <f aca="false">IFERROR(INDEX(12_Estadísticas!$C$5:$C$59,MATCH($A27,12_Estadísticas!$A$5:$A$59,0)),"")</f>
        <v>0</v>
      </c>
      <c r="I27" s="18" t="str">
        <f aca="false">IFERROR(H27/SUMIF($C$5:$C$59,C27,$H$5:$H$59),"")</f>
        <v/>
      </c>
      <c r="J27" s="12" t="n">
        <f aca="false">IFERROR(AVERAGEIF($C$5:$C$59,C27,$H$5:$H$59),"")</f>
        <v>0</v>
      </c>
      <c r="K27" s="12" t="str">
        <f aca="false">IFERROR(AVERAGEIF($C$5:$C$59,C27,$F$5:$F$59),"")</f>
        <v/>
      </c>
      <c r="L27" s="12" t="str">
        <f aca="false">IF(OR(D27="",E27="",H27=""),"Sin datos",IF(AND(H27&gt;=J27,F27&gt;=K27),"Estrella",IF(AND(H27&gt;=J27,F27&lt;K27),"Caballo de batalla",IF(AND(H27&lt;J27,F27&gt;=K27),"Incógnita","Perro"))))</f>
        <v>Sin datos</v>
      </c>
      <c r="M27" s="12" t="str">
        <f aca="false">IF(L27="Estrella","Mantener visibilidad",IF(L27="Caballo de batalla","Optimizar margen",IF(L27="Puzzle","Aumentar visibilidad",IF(L27="Perro","Revisar continuidad","Esperar datos"))))</f>
        <v>Esperar datos</v>
      </c>
      <c r="N27" s="12" t="str">
        <f aca="false">IF(L27="Estrella","Más pedido",IF(L27="Puzzle","Recomendado",IF(L27="Caballo de batalla","Clásico",IF(L27="Perro","",""))))</f>
        <v/>
      </c>
      <c r="O27" s="20"/>
      <c r="P27" s="20"/>
      <c r="Q27" s="2"/>
      <c r="R27" s="2"/>
      <c r="S27" s="2"/>
      <c r="T27" s="2"/>
      <c r="U27" s="2"/>
      <c r="V27" s="2"/>
      <c r="W27" s="2"/>
      <c r="X27" s="2"/>
      <c r="Y27" s="2"/>
      <c r="Z27" s="2"/>
    </row>
    <row r="28" customFormat="false" ht="42" hidden="false" customHeight="true" outlineLevel="0" collapsed="false">
      <c r="A28" s="12" t="s">
        <v>334</v>
      </c>
      <c r="B28" s="12" t="s">
        <v>335</v>
      </c>
      <c r="C28" s="12" t="s">
        <v>50</v>
      </c>
      <c r="D28" s="17" t="n">
        <f aca="false">IFERROR(INDEX(04_Precios!$D$5:$D$59,MATCH($A28,04_Precios!$A$5:$A$59,0)),"")</f>
        <v>0</v>
      </c>
      <c r="E28" s="17" t="n">
        <f aca="false">IFERROR(INDEX(04_Precios!$H$5:$H$59,MATCH($A28,04_Precios!$A$5:$A$59,0)),"")</f>
        <v>0</v>
      </c>
      <c r="F28" s="17" t="str">
        <f aca="false">IF(OR(D28="",E28=""),"",D28-E28)</f>
        <v/>
      </c>
      <c r="G28" s="18" t="str">
        <f aca="false">IFERROR(F28/D28,"")</f>
        <v/>
      </c>
      <c r="H28" s="12" t="n">
        <f aca="false">IFERROR(INDEX(12_Estadísticas!$C$5:$C$59,MATCH($A28,12_Estadísticas!$A$5:$A$59,0)),"")</f>
        <v>0</v>
      </c>
      <c r="I28" s="18" t="str">
        <f aca="false">IFERROR(H28/SUMIF($C$5:$C$59,C28,$H$5:$H$59),"")</f>
        <v/>
      </c>
      <c r="J28" s="12" t="n">
        <f aca="false">IFERROR(AVERAGEIF($C$5:$C$59,C28,$H$5:$H$59),"")</f>
        <v>0</v>
      </c>
      <c r="K28" s="12" t="str">
        <f aca="false">IFERROR(AVERAGEIF($C$5:$C$59,C28,$F$5:$F$59),"")</f>
        <v/>
      </c>
      <c r="L28" s="12" t="str">
        <f aca="false">IF(OR(D28="",E28="",H28=""),"Sin datos",IF(AND(H28&gt;=J28,F28&gt;=K28),"Estrella",IF(AND(H28&gt;=J28,F28&lt;K28),"Caballo de batalla",IF(AND(H28&lt;J28,F28&gt;=K28),"Incógnita","Perro"))))</f>
        <v>Sin datos</v>
      </c>
      <c r="M28" s="12" t="str">
        <f aca="false">IF(L28="Estrella","Mantener visibilidad",IF(L28="Caballo de batalla","Optimizar margen",IF(L28="Puzzle","Aumentar visibilidad",IF(L28="Perro","Revisar continuidad","Esperar datos"))))</f>
        <v>Esperar datos</v>
      </c>
      <c r="N28" s="12" t="str">
        <f aca="false">IF(L28="Estrella","Más pedido",IF(L28="Puzzle","Recomendado",IF(L28="Caballo de batalla","Clásico",IF(L28="Perro","",""))))</f>
        <v/>
      </c>
      <c r="O28" s="20"/>
      <c r="P28" s="20"/>
      <c r="Q28" s="2"/>
      <c r="R28" s="2"/>
      <c r="S28" s="2"/>
      <c r="T28" s="2"/>
      <c r="U28" s="2"/>
      <c r="V28" s="2"/>
      <c r="W28" s="2"/>
      <c r="X28" s="2"/>
      <c r="Y28" s="2"/>
      <c r="Z28" s="2"/>
    </row>
    <row r="29" customFormat="false" ht="42" hidden="false" customHeight="true" outlineLevel="0" collapsed="false">
      <c r="A29" s="12" t="s">
        <v>345</v>
      </c>
      <c r="B29" s="12" t="s">
        <v>346</v>
      </c>
      <c r="C29" s="12" t="s">
        <v>50</v>
      </c>
      <c r="D29" s="17" t="n">
        <f aca="false">IFERROR(INDEX(04_Precios!$D$5:$D$59,MATCH($A29,04_Precios!$A$5:$A$59,0)),"")</f>
        <v>0</v>
      </c>
      <c r="E29" s="17" t="n">
        <f aca="false">IFERROR(INDEX(04_Precios!$H$5:$H$59,MATCH($A29,04_Precios!$A$5:$A$59,0)),"")</f>
        <v>0</v>
      </c>
      <c r="F29" s="17" t="str">
        <f aca="false">IF(OR(D29="",E29=""),"",D29-E29)</f>
        <v/>
      </c>
      <c r="G29" s="18" t="str">
        <f aca="false">IFERROR(F29/D29,"")</f>
        <v/>
      </c>
      <c r="H29" s="12" t="n">
        <f aca="false">IFERROR(INDEX(12_Estadísticas!$C$5:$C$59,MATCH($A29,12_Estadísticas!$A$5:$A$59,0)),"")</f>
        <v>0</v>
      </c>
      <c r="I29" s="18" t="str">
        <f aca="false">IFERROR(H29/SUMIF($C$5:$C$59,C29,$H$5:$H$59),"")</f>
        <v/>
      </c>
      <c r="J29" s="12" t="n">
        <f aca="false">IFERROR(AVERAGEIF($C$5:$C$59,C29,$H$5:$H$59),"")</f>
        <v>0</v>
      </c>
      <c r="K29" s="12" t="str">
        <f aca="false">IFERROR(AVERAGEIF($C$5:$C$59,C29,$F$5:$F$59),"")</f>
        <v/>
      </c>
      <c r="L29" s="12" t="str">
        <f aca="false">IF(OR(D29="",E29="",H29=""),"Sin datos",IF(AND(H29&gt;=J29,F29&gt;=K29),"Estrella",IF(AND(H29&gt;=J29,F29&lt;K29),"Caballo de batalla",IF(AND(H29&lt;J29,F29&gt;=K29),"Incógnita","Perro"))))</f>
        <v>Sin datos</v>
      </c>
      <c r="M29" s="12" t="str">
        <f aca="false">IF(L29="Estrella","Mantener visibilidad",IF(L29="Caballo de batalla","Optimizar margen",IF(L29="Puzzle","Aumentar visibilidad",IF(L29="Perro","Revisar continuidad","Esperar datos"))))</f>
        <v>Esperar datos</v>
      </c>
      <c r="N29" s="12" t="str">
        <f aca="false">IF(L29="Estrella","Más pedido",IF(L29="Puzzle","Recomendado",IF(L29="Caballo de batalla","Clásico",IF(L29="Perro","",""))))</f>
        <v/>
      </c>
      <c r="O29" s="20"/>
      <c r="P29" s="20"/>
      <c r="Q29" s="2"/>
      <c r="R29" s="2"/>
      <c r="S29" s="2"/>
      <c r="T29" s="2"/>
      <c r="U29" s="2"/>
      <c r="V29" s="2"/>
      <c r="W29" s="2"/>
      <c r="X29" s="2"/>
      <c r="Y29" s="2"/>
      <c r="Z29" s="2"/>
    </row>
    <row r="30" customFormat="false" ht="42" hidden="false" customHeight="true" outlineLevel="0" collapsed="false">
      <c r="A30" s="12" t="s">
        <v>355</v>
      </c>
      <c r="B30" s="12" t="s">
        <v>356</v>
      </c>
      <c r="C30" s="12" t="s">
        <v>50</v>
      </c>
      <c r="D30" s="17" t="n">
        <f aca="false">IFERROR(INDEX(04_Precios!$D$5:$D$59,MATCH($A30,04_Precios!$A$5:$A$59,0)),"")</f>
        <v>0</v>
      </c>
      <c r="E30" s="17" t="n">
        <f aca="false">IFERROR(INDEX(04_Precios!$H$5:$H$59,MATCH($A30,04_Precios!$A$5:$A$59,0)),"")</f>
        <v>0</v>
      </c>
      <c r="F30" s="17" t="str">
        <f aca="false">IF(OR(D30="",E30=""),"",D30-E30)</f>
        <v/>
      </c>
      <c r="G30" s="18" t="str">
        <f aca="false">IFERROR(F30/D30,"")</f>
        <v/>
      </c>
      <c r="H30" s="12" t="n">
        <f aca="false">IFERROR(INDEX(12_Estadísticas!$C$5:$C$59,MATCH($A30,12_Estadísticas!$A$5:$A$59,0)),"")</f>
        <v>0</v>
      </c>
      <c r="I30" s="18" t="str">
        <f aca="false">IFERROR(H30/SUMIF($C$5:$C$59,C30,$H$5:$H$59),"")</f>
        <v/>
      </c>
      <c r="J30" s="12" t="n">
        <f aca="false">IFERROR(AVERAGEIF($C$5:$C$59,C30,$H$5:$H$59),"")</f>
        <v>0</v>
      </c>
      <c r="K30" s="12" t="str">
        <f aca="false">IFERROR(AVERAGEIF($C$5:$C$59,C30,$F$5:$F$59),"")</f>
        <v/>
      </c>
      <c r="L30" s="12" t="str">
        <f aca="false">IF(OR(D30="",E30="",H30=""),"Sin datos",IF(AND(H30&gt;=J30,F30&gt;=K30),"Estrella",IF(AND(H30&gt;=J30,F30&lt;K30),"Caballo de batalla",IF(AND(H30&lt;J30,F30&gt;=K30),"Incógnita","Perro"))))</f>
        <v>Sin datos</v>
      </c>
      <c r="M30" s="12" t="str">
        <f aca="false">IF(L30="Estrella","Mantener visibilidad",IF(L30="Caballo de batalla","Optimizar margen",IF(L30="Puzzle","Aumentar visibilidad",IF(L30="Perro","Revisar continuidad","Esperar datos"))))</f>
        <v>Esperar datos</v>
      </c>
      <c r="N30" s="12" t="str">
        <f aca="false">IF(L30="Estrella","Más pedido",IF(L30="Puzzle","Recomendado",IF(L30="Caballo de batalla","Clásico",IF(L30="Perro","",""))))</f>
        <v/>
      </c>
      <c r="O30" s="20"/>
      <c r="P30" s="20"/>
      <c r="Q30" s="2"/>
      <c r="R30" s="2"/>
      <c r="S30" s="2"/>
      <c r="T30" s="2"/>
      <c r="U30" s="2"/>
      <c r="V30" s="2"/>
      <c r="W30" s="2"/>
      <c r="X30" s="2"/>
      <c r="Y30" s="2"/>
      <c r="Z30" s="2"/>
    </row>
    <row r="31" customFormat="false" ht="42" hidden="false" customHeight="true" outlineLevel="0" collapsed="false">
      <c r="A31" s="12" t="s">
        <v>362</v>
      </c>
      <c r="B31" s="12" t="s">
        <v>363</v>
      </c>
      <c r="C31" s="12" t="s">
        <v>50</v>
      </c>
      <c r="D31" s="17" t="n">
        <f aca="false">IFERROR(INDEX(04_Precios!$D$5:$D$59,MATCH($A31,04_Precios!$A$5:$A$59,0)),"")</f>
        <v>0</v>
      </c>
      <c r="E31" s="17" t="n">
        <f aca="false">IFERROR(INDEX(04_Precios!$H$5:$H$59,MATCH($A31,04_Precios!$A$5:$A$59,0)),"")</f>
        <v>0</v>
      </c>
      <c r="F31" s="17" t="str">
        <f aca="false">IF(OR(D31="",E31=""),"",D31-E31)</f>
        <v/>
      </c>
      <c r="G31" s="18" t="str">
        <f aca="false">IFERROR(F31/D31,"")</f>
        <v/>
      </c>
      <c r="H31" s="12" t="n">
        <f aca="false">IFERROR(INDEX(12_Estadísticas!$C$5:$C$59,MATCH($A31,12_Estadísticas!$A$5:$A$59,0)),"")</f>
        <v>0</v>
      </c>
      <c r="I31" s="18" t="str">
        <f aca="false">IFERROR(H31/SUMIF($C$5:$C$59,C31,$H$5:$H$59),"")</f>
        <v/>
      </c>
      <c r="J31" s="12" t="n">
        <f aca="false">IFERROR(AVERAGEIF($C$5:$C$59,C31,$H$5:$H$59),"")</f>
        <v>0</v>
      </c>
      <c r="K31" s="12" t="str">
        <f aca="false">IFERROR(AVERAGEIF($C$5:$C$59,C31,$F$5:$F$59),"")</f>
        <v/>
      </c>
      <c r="L31" s="12" t="str">
        <f aca="false">IF(OR(D31="",E31="",H31=""),"Sin datos",IF(AND(H31&gt;=J31,F31&gt;=K31),"Estrella",IF(AND(H31&gt;=J31,F31&lt;K31),"Caballo de batalla",IF(AND(H31&lt;J31,F31&gt;=K31),"Incógnita","Perro"))))</f>
        <v>Sin datos</v>
      </c>
      <c r="M31" s="12" t="str">
        <f aca="false">IF(L31="Estrella","Mantener visibilidad",IF(L31="Caballo de batalla","Optimizar margen",IF(L31="Puzzle","Aumentar visibilidad",IF(L31="Perro","Revisar continuidad","Esperar datos"))))</f>
        <v>Esperar datos</v>
      </c>
      <c r="N31" s="12" t="str">
        <f aca="false">IF(L31="Estrella","Más pedido",IF(L31="Puzzle","Recomendado",IF(L31="Caballo de batalla","Clásico",IF(L31="Perro","",""))))</f>
        <v/>
      </c>
      <c r="O31" s="20"/>
      <c r="P31" s="20"/>
      <c r="Q31" s="2"/>
      <c r="R31" s="2"/>
      <c r="S31" s="2"/>
      <c r="T31" s="2"/>
      <c r="U31" s="2"/>
      <c r="V31" s="2"/>
      <c r="W31" s="2"/>
      <c r="X31" s="2"/>
      <c r="Y31" s="2"/>
      <c r="Z31" s="2"/>
    </row>
    <row r="32" customFormat="false" ht="42" hidden="false" customHeight="true" outlineLevel="0" collapsed="false">
      <c r="A32" s="12" t="s">
        <v>369</v>
      </c>
      <c r="B32" s="12" t="s">
        <v>370</v>
      </c>
      <c r="C32" s="12" t="s">
        <v>50</v>
      </c>
      <c r="D32" s="17" t="n">
        <f aca="false">IFERROR(INDEX(04_Precios!$D$5:$D$59,MATCH($A32,04_Precios!$A$5:$A$59,0)),"")</f>
        <v>0</v>
      </c>
      <c r="E32" s="17" t="n">
        <f aca="false">IFERROR(INDEX(04_Precios!$H$5:$H$59,MATCH($A32,04_Precios!$A$5:$A$59,0)),"")</f>
        <v>0</v>
      </c>
      <c r="F32" s="17" t="str">
        <f aca="false">IF(OR(D32="",E32=""),"",D32-E32)</f>
        <v/>
      </c>
      <c r="G32" s="18" t="str">
        <f aca="false">IFERROR(F32/D32,"")</f>
        <v/>
      </c>
      <c r="H32" s="12" t="n">
        <f aca="false">IFERROR(INDEX(12_Estadísticas!$C$5:$C$59,MATCH($A32,12_Estadísticas!$A$5:$A$59,0)),"")</f>
        <v>0</v>
      </c>
      <c r="I32" s="18" t="str">
        <f aca="false">IFERROR(H32/SUMIF($C$5:$C$59,C32,$H$5:$H$59),"")</f>
        <v/>
      </c>
      <c r="J32" s="12" t="n">
        <f aca="false">IFERROR(AVERAGEIF($C$5:$C$59,C32,$H$5:$H$59),"")</f>
        <v>0</v>
      </c>
      <c r="K32" s="12" t="str">
        <f aca="false">IFERROR(AVERAGEIF($C$5:$C$59,C32,$F$5:$F$59),"")</f>
        <v/>
      </c>
      <c r="L32" s="12" t="str">
        <f aca="false">IF(OR(D32="",E32="",H32=""),"Sin datos",IF(AND(H32&gt;=J32,F32&gt;=K32),"Estrella",IF(AND(H32&gt;=J32,F32&lt;K32),"Caballo de batalla",IF(AND(H32&lt;J32,F32&gt;=K32),"Incógnita","Perro"))))</f>
        <v>Sin datos</v>
      </c>
      <c r="M32" s="12" t="str">
        <f aca="false">IF(L32="Estrella","Mantener visibilidad",IF(L32="Caballo de batalla","Optimizar margen",IF(L32="Puzzle","Aumentar visibilidad",IF(L32="Perro","Revisar continuidad","Esperar datos"))))</f>
        <v>Esperar datos</v>
      </c>
      <c r="N32" s="12" t="str">
        <f aca="false">IF(L32="Estrella","Más pedido",IF(L32="Puzzle","Recomendado",IF(L32="Caballo de batalla","Clásico",IF(L32="Perro","",""))))</f>
        <v/>
      </c>
      <c r="O32" s="20"/>
      <c r="P32" s="20"/>
      <c r="Q32" s="2"/>
      <c r="R32" s="2"/>
      <c r="S32" s="2"/>
      <c r="T32" s="2"/>
      <c r="U32" s="2"/>
      <c r="V32" s="2"/>
      <c r="W32" s="2"/>
      <c r="X32" s="2"/>
      <c r="Y32" s="2"/>
      <c r="Z32" s="2"/>
    </row>
    <row r="33" customFormat="false" ht="42" hidden="false" customHeight="true" outlineLevel="0" collapsed="false">
      <c r="A33" s="12" t="s">
        <v>378</v>
      </c>
      <c r="B33" s="12" t="s">
        <v>379</v>
      </c>
      <c r="C33" s="12" t="s">
        <v>51</v>
      </c>
      <c r="D33" s="17" t="n">
        <f aca="false">IFERROR(INDEX(04_Precios!$D$5:$D$59,MATCH($A33,04_Precios!$A$5:$A$59,0)),"")</f>
        <v>0</v>
      </c>
      <c r="E33" s="17" t="n">
        <f aca="false">IFERROR(INDEX(04_Precios!$H$5:$H$59,MATCH($A33,04_Precios!$A$5:$A$59,0)),"")</f>
        <v>0</v>
      </c>
      <c r="F33" s="17" t="str">
        <f aca="false">IF(OR(D33="",E33=""),"",D33-E33)</f>
        <v/>
      </c>
      <c r="G33" s="18" t="str">
        <f aca="false">IFERROR(F33/D33,"")</f>
        <v/>
      </c>
      <c r="H33" s="12" t="n">
        <f aca="false">IFERROR(INDEX(12_Estadísticas!$C$5:$C$59,MATCH($A33,12_Estadísticas!$A$5:$A$59,0)),"")</f>
        <v>0</v>
      </c>
      <c r="I33" s="18" t="str">
        <f aca="false">IFERROR(H33/SUMIF($C$5:$C$59,C33,$H$5:$H$59),"")</f>
        <v/>
      </c>
      <c r="J33" s="12" t="n">
        <f aca="false">IFERROR(AVERAGEIF($C$5:$C$59,C33,$H$5:$H$59),"")</f>
        <v>0</v>
      </c>
      <c r="K33" s="12" t="str">
        <f aca="false">IFERROR(AVERAGEIF($C$5:$C$59,C33,$F$5:$F$59),"")</f>
        <v/>
      </c>
      <c r="L33" s="12" t="str">
        <f aca="false">IF(OR(D33="",E33="",H33=""),"Sin datos",IF(AND(H33&gt;=J33,F33&gt;=K33),"Estrella",IF(AND(H33&gt;=J33,F33&lt;K33),"Caballo de batalla",IF(AND(H33&lt;J33,F33&gt;=K33),"Incógnita","Perro"))))</f>
        <v>Sin datos</v>
      </c>
      <c r="M33" s="12" t="str">
        <f aca="false">IF(L33="Estrella","Mantener visibilidad",IF(L33="Caballo de batalla","Optimizar margen",IF(L33="Puzzle","Aumentar visibilidad",IF(L33="Perro","Revisar continuidad","Esperar datos"))))</f>
        <v>Esperar datos</v>
      </c>
      <c r="N33" s="12" t="str">
        <f aca="false">IF(L33="Estrella","Más pedido",IF(L33="Puzzle","Recomendado",IF(L33="Caballo de batalla","Clásico",IF(L33="Perro","",""))))</f>
        <v/>
      </c>
      <c r="O33" s="20"/>
      <c r="P33" s="20"/>
      <c r="Q33" s="2"/>
      <c r="R33" s="2"/>
      <c r="S33" s="2"/>
      <c r="T33" s="2"/>
      <c r="U33" s="2"/>
      <c r="V33" s="2"/>
      <c r="W33" s="2"/>
      <c r="X33" s="2"/>
      <c r="Y33" s="2"/>
      <c r="Z33" s="2"/>
    </row>
    <row r="34" customFormat="false" ht="42" hidden="false" customHeight="true" outlineLevel="0" collapsed="false">
      <c r="A34" s="12" t="s">
        <v>387</v>
      </c>
      <c r="B34" s="12" t="s">
        <v>388</v>
      </c>
      <c r="C34" s="12" t="s">
        <v>51</v>
      </c>
      <c r="D34" s="17" t="n">
        <f aca="false">IFERROR(INDEX(04_Precios!$D$5:$D$59,MATCH($A34,04_Precios!$A$5:$A$59,0)),"")</f>
        <v>0</v>
      </c>
      <c r="E34" s="17" t="n">
        <f aca="false">IFERROR(INDEX(04_Precios!$H$5:$H$59,MATCH($A34,04_Precios!$A$5:$A$59,0)),"")</f>
        <v>0</v>
      </c>
      <c r="F34" s="17" t="str">
        <f aca="false">IF(OR(D34="",E34=""),"",D34-E34)</f>
        <v/>
      </c>
      <c r="G34" s="18" t="str">
        <f aca="false">IFERROR(F34/D34,"")</f>
        <v/>
      </c>
      <c r="H34" s="12" t="n">
        <f aca="false">IFERROR(INDEX(12_Estadísticas!$C$5:$C$59,MATCH($A34,12_Estadísticas!$A$5:$A$59,0)),"")</f>
        <v>0</v>
      </c>
      <c r="I34" s="18" t="str">
        <f aca="false">IFERROR(H34/SUMIF($C$5:$C$59,C34,$H$5:$H$59),"")</f>
        <v/>
      </c>
      <c r="J34" s="12" t="n">
        <f aca="false">IFERROR(AVERAGEIF($C$5:$C$59,C34,$H$5:$H$59),"")</f>
        <v>0</v>
      </c>
      <c r="K34" s="12" t="str">
        <f aca="false">IFERROR(AVERAGEIF($C$5:$C$59,C34,$F$5:$F$59),"")</f>
        <v/>
      </c>
      <c r="L34" s="12" t="str">
        <f aca="false">IF(OR(D34="",E34="",H34=""),"Sin datos",IF(AND(H34&gt;=J34,F34&gt;=K34),"Estrella",IF(AND(H34&gt;=J34,F34&lt;K34),"Caballo de batalla",IF(AND(H34&lt;J34,F34&gt;=K34),"Incógnita","Perro"))))</f>
        <v>Sin datos</v>
      </c>
      <c r="M34" s="12" t="str">
        <f aca="false">IF(L34="Estrella","Mantener visibilidad",IF(L34="Caballo de batalla","Optimizar margen",IF(L34="Puzzle","Aumentar visibilidad",IF(L34="Perro","Revisar continuidad","Esperar datos"))))</f>
        <v>Esperar datos</v>
      </c>
      <c r="N34" s="12" t="str">
        <f aca="false">IF(L34="Estrella","Más pedido",IF(L34="Puzzle","Recomendado",IF(L34="Caballo de batalla","Clásico",IF(L34="Perro","",""))))</f>
        <v/>
      </c>
      <c r="O34" s="20"/>
      <c r="P34" s="20"/>
      <c r="Q34" s="2"/>
      <c r="R34" s="2"/>
      <c r="S34" s="2"/>
      <c r="T34" s="2"/>
      <c r="U34" s="2"/>
      <c r="V34" s="2"/>
      <c r="W34" s="2"/>
      <c r="X34" s="2"/>
      <c r="Y34" s="2"/>
      <c r="Z34" s="2"/>
    </row>
    <row r="35" customFormat="false" ht="42" hidden="false" customHeight="true" outlineLevel="0" collapsed="false">
      <c r="A35" s="12" t="s">
        <v>396</v>
      </c>
      <c r="B35" s="12" t="s">
        <v>397</v>
      </c>
      <c r="C35" s="12" t="s">
        <v>51</v>
      </c>
      <c r="D35" s="17" t="n">
        <f aca="false">IFERROR(INDEX(04_Precios!$D$5:$D$59,MATCH($A35,04_Precios!$A$5:$A$59,0)),"")</f>
        <v>0</v>
      </c>
      <c r="E35" s="17" t="n">
        <f aca="false">IFERROR(INDEX(04_Precios!$H$5:$H$59,MATCH($A35,04_Precios!$A$5:$A$59,0)),"")</f>
        <v>0</v>
      </c>
      <c r="F35" s="17" t="str">
        <f aca="false">IF(OR(D35="",E35=""),"",D35-E35)</f>
        <v/>
      </c>
      <c r="G35" s="18" t="str">
        <f aca="false">IFERROR(F35/D35,"")</f>
        <v/>
      </c>
      <c r="H35" s="12" t="n">
        <f aca="false">IFERROR(INDEX(12_Estadísticas!$C$5:$C$59,MATCH($A35,12_Estadísticas!$A$5:$A$59,0)),"")</f>
        <v>0</v>
      </c>
      <c r="I35" s="18" t="str">
        <f aca="false">IFERROR(H35/SUMIF($C$5:$C$59,C35,$H$5:$H$59),"")</f>
        <v/>
      </c>
      <c r="J35" s="12" t="n">
        <f aca="false">IFERROR(AVERAGEIF($C$5:$C$59,C35,$H$5:$H$59),"")</f>
        <v>0</v>
      </c>
      <c r="K35" s="12" t="str">
        <f aca="false">IFERROR(AVERAGEIF($C$5:$C$59,C35,$F$5:$F$59),"")</f>
        <v/>
      </c>
      <c r="L35" s="12" t="str">
        <f aca="false">IF(OR(D35="",E35="",H35=""),"Sin datos",IF(AND(H35&gt;=J35,F35&gt;=K35),"Estrella",IF(AND(H35&gt;=J35,F35&lt;K35),"Caballo de batalla",IF(AND(H35&lt;J35,F35&gt;=K35),"Incógnita","Perro"))))</f>
        <v>Sin datos</v>
      </c>
      <c r="M35" s="12" t="str">
        <f aca="false">IF(L35="Estrella","Mantener visibilidad",IF(L35="Caballo de batalla","Optimizar margen",IF(L35="Puzzle","Aumentar visibilidad",IF(L35="Perro","Revisar continuidad","Esperar datos"))))</f>
        <v>Esperar datos</v>
      </c>
      <c r="N35" s="12" t="str">
        <f aca="false">IF(L35="Estrella","Más pedido",IF(L35="Puzzle","Recomendado",IF(L35="Caballo de batalla","Clásico",IF(L35="Perro","",""))))</f>
        <v/>
      </c>
      <c r="O35" s="20"/>
      <c r="P35" s="20"/>
      <c r="Q35" s="2"/>
      <c r="R35" s="2"/>
      <c r="S35" s="2"/>
      <c r="T35" s="2"/>
      <c r="U35" s="2"/>
      <c r="V35" s="2"/>
      <c r="W35" s="2"/>
      <c r="X35" s="2"/>
      <c r="Y35" s="2"/>
      <c r="Z35" s="2"/>
    </row>
    <row r="36" customFormat="false" ht="42" hidden="false" customHeight="true" outlineLevel="0" collapsed="false">
      <c r="A36" s="12" t="s">
        <v>407</v>
      </c>
      <c r="B36" s="12" t="s">
        <v>408</v>
      </c>
      <c r="C36" s="12" t="s">
        <v>52</v>
      </c>
      <c r="D36" s="17" t="n">
        <f aca="false">IFERROR(INDEX(04_Precios!$D$5:$D$59,MATCH($A36,04_Precios!$A$5:$A$59,0)),"")</f>
        <v>0</v>
      </c>
      <c r="E36" s="17" t="n">
        <f aca="false">IFERROR(INDEX(04_Precios!$H$5:$H$59,MATCH($A36,04_Precios!$A$5:$A$59,0)),"")</f>
        <v>0</v>
      </c>
      <c r="F36" s="17" t="str">
        <f aca="false">IF(OR(D36="",E36=""),"",D36-E36)</f>
        <v/>
      </c>
      <c r="G36" s="18" t="str">
        <f aca="false">IFERROR(F36/D36,"")</f>
        <v/>
      </c>
      <c r="H36" s="12" t="n">
        <f aca="false">IFERROR(INDEX(12_Estadísticas!$C$5:$C$59,MATCH($A36,12_Estadísticas!$A$5:$A$59,0)),"")</f>
        <v>0</v>
      </c>
      <c r="I36" s="18" t="str">
        <f aca="false">IFERROR(H36/SUMIF($C$5:$C$59,C36,$H$5:$H$59),"")</f>
        <v/>
      </c>
      <c r="J36" s="12" t="n">
        <f aca="false">IFERROR(AVERAGEIF($C$5:$C$59,C36,$H$5:$H$59),"")</f>
        <v>0</v>
      </c>
      <c r="K36" s="12" t="str">
        <f aca="false">IFERROR(AVERAGEIF($C$5:$C$59,C36,$F$5:$F$59),"")</f>
        <v/>
      </c>
      <c r="L36" s="12" t="str">
        <f aca="false">IF(OR(D36="",E36="",H36=""),"Sin datos",IF(AND(H36&gt;=J36,F36&gt;=K36),"Estrella",IF(AND(H36&gt;=J36,F36&lt;K36),"Caballo de batalla",IF(AND(H36&lt;J36,F36&gt;=K36),"Incógnita","Perro"))))</f>
        <v>Sin datos</v>
      </c>
      <c r="M36" s="12" t="str">
        <f aca="false">IF(L36="Estrella","Mantener visibilidad",IF(L36="Caballo de batalla","Optimizar margen",IF(L36="Puzzle","Aumentar visibilidad",IF(L36="Perro","Revisar continuidad","Esperar datos"))))</f>
        <v>Esperar datos</v>
      </c>
      <c r="N36" s="12" t="str">
        <f aca="false">IF(L36="Estrella","Más pedido",IF(L36="Puzzle","Recomendado",IF(L36="Caballo de batalla","Clásico",IF(L36="Perro","",""))))</f>
        <v/>
      </c>
      <c r="O36" s="20"/>
      <c r="P36" s="20"/>
      <c r="Q36" s="2"/>
      <c r="R36" s="2"/>
      <c r="S36" s="2"/>
      <c r="T36" s="2"/>
      <c r="U36" s="2"/>
      <c r="V36" s="2"/>
      <c r="W36" s="2"/>
      <c r="X36" s="2"/>
      <c r="Y36" s="2"/>
      <c r="Z36" s="2"/>
    </row>
    <row r="37" customFormat="false" ht="42" hidden="false" customHeight="true" outlineLevel="0" collapsed="false">
      <c r="A37" s="12" t="s">
        <v>418</v>
      </c>
      <c r="B37" s="12" t="s">
        <v>419</v>
      </c>
      <c r="C37" s="12" t="s">
        <v>52</v>
      </c>
      <c r="D37" s="17" t="n">
        <f aca="false">IFERROR(INDEX(04_Precios!$D$5:$D$59,MATCH($A37,04_Precios!$A$5:$A$59,0)),"")</f>
        <v>0</v>
      </c>
      <c r="E37" s="17" t="n">
        <f aca="false">IFERROR(INDEX(04_Precios!$H$5:$H$59,MATCH($A37,04_Precios!$A$5:$A$59,0)),"")</f>
        <v>0</v>
      </c>
      <c r="F37" s="17" t="str">
        <f aca="false">IF(OR(D37="",E37=""),"",D37-E37)</f>
        <v/>
      </c>
      <c r="G37" s="18" t="str">
        <f aca="false">IFERROR(F37/D37,"")</f>
        <v/>
      </c>
      <c r="H37" s="12" t="n">
        <f aca="false">IFERROR(INDEX(12_Estadísticas!$C$5:$C$59,MATCH($A37,12_Estadísticas!$A$5:$A$59,0)),"")</f>
        <v>0</v>
      </c>
      <c r="I37" s="18" t="str">
        <f aca="false">IFERROR(H37/SUMIF($C$5:$C$59,C37,$H$5:$H$59),"")</f>
        <v/>
      </c>
      <c r="J37" s="12" t="n">
        <f aca="false">IFERROR(AVERAGEIF($C$5:$C$59,C37,$H$5:$H$59),"")</f>
        <v>0</v>
      </c>
      <c r="K37" s="12" t="str">
        <f aca="false">IFERROR(AVERAGEIF($C$5:$C$59,C37,$F$5:$F$59),"")</f>
        <v/>
      </c>
      <c r="L37" s="12" t="str">
        <f aca="false">IF(OR(D37="",E37="",H37=""),"Sin datos",IF(AND(H37&gt;=J37,F37&gt;=K37),"Estrella",IF(AND(H37&gt;=J37,F37&lt;K37),"Caballo de batalla",IF(AND(H37&lt;J37,F37&gt;=K37),"Incógnita","Perro"))))</f>
        <v>Sin datos</v>
      </c>
      <c r="M37" s="12" t="str">
        <f aca="false">IF(L37="Estrella","Mantener visibilidad",IF(L37="Caballo de batalla","Optimizar margen",IF(L37="Puzzle","Aumentar visibilidad",IF(L37="Perro","Revisar continuidad","Esperar datos"))))</f>
        <v>Esperar datos</v>
      </c>
      <c r="N37" s="12" t="str">
        <f aca="false">IF(L37="Estrella","Más pedido",IF(L37="Puzzle","Recomendado",IF(L37="Caballo de batalla","Clásico",IF(L37="Perro","",""))))</f>
        <v/>
      </c>
      <c r="O37" s="20"/>
      <c r="P37" s="20"/>
      <c r="Q37" s="2"/>
      <c r="R37" s="2"/>
      <c r="S37" s="2"/>
      <c r="T37" s="2"/>
      <c r="U37" s="2"/>
      <c r="V37" s="2"/>
      <c r="W37" s="2"/>
      <c r="X37" s="2"/>
      <c r="Y37" s="2"/>
      <c r="Z37" s="2"/>
    </row>
    <row r="38" customFormat="false" ht="42" hidden="false" customHeight="true" outlineLevel="0" collapsed="false">
      <c r="A38" s="12" t="s">
        <v>429</v>
      </c>
      <c r="B38" s="12" t="s">
        <v>430</v>
      </c>
      <c r="C38" s="12" t="s">
        <v>52</v>
      </c>
      <c r="D38" s="17" t="n">
        <f aca="false">IFERROR(INDEX(04_Precios!$D$5:$D$59,MATCH($A38,04_Precios!$A$5:$A$59,0)),"")</f>
        <v>0</v>
      </c>
      <c r="E38" s="17" t="n">
        <f aca="false">IFERROR(INDEX(04_Precios!$H$5:$H$59,MATCH($A38,04_Precios!$A$5:$A$59,0)),"")</f>
        <v>0</v>
      </c>
      <c r="F38" s="17" t="str">
        <f aca="false">IF(OR(D38="",E38=""),"",D38-E38)</f>
        <v/>
      </c>
      <c r="G38" s="18" t="str">
        <f aca="false">IFERROR(F38/D38,"")</f>
        <v/>
      </c>
      <c r="H38" s="12" t="n">
        <f aca="false">IFERROR(INDEX(12_Estadísticas!$C$5:$C$59,MATCH($A38,12_Estadísticas!$A$5:$A$59,0)),"")</f>
        <v>0</v>
      </c>
      <c r="I38" s="18" t="str">
        <f aca="false">IFERROR(H38/SUMIF($C$5:$C$59,C38,$H$5:$H$59),"")</f>
        <v/>
      </c>
      <c r="J38" s="12" t="n">
        <f aca="false">IFERROR(AVERAGEIF($C$5:$C$59,C38,$H$5:$H$59),"")</f>
        <v>0</v>
      </c>
      <c r="K38" s="12" t="str">
        <f aca="false">IFERROR(AVERAGEIF($C$5:$C$59,C38,$F$5:$F$59),"")</f>
        <v/>
      </c>
      <c r="L38" s="12" t="str">
        <f aca="false">IF(OR(D38="",E38="",H38=""),"Sin datos",IF(AND(H38&gt;=J38,F38&gt;=K38),"Estrella",IF(AND(H38&gt;=J38,F38&lt;K38),"Caballo de batalla",IF(AND(H38&lt;J38,F38&gt;=K38),"Incógnita","Perro"))))</f>
        <v>Sin datos</v>
      </c>
      <c r="M38" s="12" t="str">
        <f aca="false">IF(L38="Estrella","Mantener visibilidad",IF(L38="Caballo de batalla","Optimizar margen",IF(L38="Puzzle","Aumentar visibilidad",IF(L38="Perro","Revisar continuidad","Esperar datos"))))</f>
        <v>Esperar datos</v>
      </c>
      <c r="N38" s="12" t="str">
        <f aca="false">IF(L38="Estrella","Más pedido",IF(L38="Puzzle","Recomendado",IF(L38="Caballo de batalla","Clásico",IF(L38="Perro","",""))))</f>
        <v/>
      </c>
      <c r="O38" s="20"/>
      <c r="P38" s="20"/>
      <c r="Q38" s="2"/>
      <c r="R38" s="2"/>
      <c r="S38" s="2"/>
      <c r="T38" s="2"/>
      <c r="U38" s="2"/>
      <c r="V38" s="2"/>
      <c r="W38" s="2"/>
      <c r="X38" s="2"/>
      <c r="Y38" s="2"/>
      <c r="Z38" s="2"/>
    </row>
    <row r="39" customFormat="false" ht="42" hidden="false" customHeight="true" outlineLevel="0" collapsed="false">
      <c r="A39" s="12" t="s">
        <v>439</v>
      </c>
      <c r="B39" s="12" t="s">
        <v>440</v>
      </c>
      <c r="C39" s="12" t="s">
        <v>52</v>
      </c>
      <c r="D39" s="17" t="n">
        <f aca="false">IFERROR(INDEX(04_Precios!$D$5:$D$59,MATCH($A39,04_Precios!$A$5:$A$59,0)),"")</f>
        <v>0</v>
      </c>
      <c r="E39" s="17" t="n">
        <f aca="false">IFERROR(INDEX(04_Precios!$H$5:$H$59,MATCH($A39,04_Precios!$A$5:$A$59,0)),"")</f>
        <v>0</v>
      </c>
      <c r="F39" s="17" t="str">
        <f aca="false">IF(OR(D39="",E39=""),"",D39-E39)</f>
        <v/>
      </c>
      <c r="G39" s="18" t="str">
        <f aca="false">IFERROR(F39/D39,"")</f>
        <v/>
      </c>
      <c r="H39" s="12" t="n">
        <f aca="false">IFERROR(INDEX(12_Estadísticas!$C$5:$C$59,MATCH($A39,12_Estadísticas!$A$5:$A$59,0)),"")</f>
        <v>0</v>
      </c>
      <c r="I39" s="18" t="str">
        <f aca="false">IFERROR(H39/SUMIF($C$5:$C$59,C39,$H$5:$H$59),"")</f>
        <v/>
      </c>
      <c r="J39" s="12" t="n">
        <f aca="false">IFERROR(AVERAGEIF($C$5:$C$59,C39,$H$5:$H$59),"")</f>
        <v>0</v>
      </c>
      <c r="K39" s="12" t="str">
        <f aca="false">IFERROR(AVERAGEIF($C$5:$C$59,C39,$F$5:$F$59),"")</f>
        <v/>
      </c>
      <c r="L39" s="12" t="str">
        <f aca="false">IF(OR(D39="",E39="",H39=""),"Sin datos",IF(AND(H39&gt;=J39,F39&gt;=K39),"Estrella",IF(AND(H39&gt;=J39,F39&lt;K39),"Caballo de batalla",IF(AND(H39&lt;J39,F39&gt;=K39),"Incógnita","Perro"))))</f>
        <v>Sin datos</v>
      </c>
      <c r="M39" s="12" t="str">
        <f aca="false">IF(L39="Estrella","Mantener visibilidad",IF(L39="Caballo de batalla","Optimizar margen",IF(L39="Puzzle","Aumentar visibilidad",IF(L39="Perro","Revisar continuidad","Esperar datos"))))</f>
        <v>Esperar datos</v>
      </c>
      <c r="N39" s="12" t="str">
        <f aca="false">IF(L39="Estrella","Más pedido",IF(L39="Puzzle","Recomendado",IF(L39="Caballo de batalla","Clásico",IF(L39="Perro","",""))))</f>
        <v/>
      </c>
      <c r="O39" s="20"/>
      <c r="P39" s="20"/>
      <c r="Q39" s="2"/>
      <c r="R39" s="2"/>
      <c r="S39" s="2"/>
      <c r="T39" s="2"/>
      <c r="U39" s="2"/>
      <c r="V39" s="2"/>
      <c r="W39" s="2"/>
      <c r="X39" s="2"/>
      <c r="Y39" s="2"/>
      <c r="Z39" s="2"/>
    </row>
    <row r="40" customFormat="false" ht="42" hidden="false" customHeight="true" outlineLevel="0" collapsed="false">
      <c r="A40" s="12" t="s">
        <v>450</v>
      </c>
      <c r="B40" s="12" t="s">
        <v>451</v>
      </c>
      <c r="C40" s="12" t="s">
        <v>52</v>
      </c>
      <c r="D40" s="17" t="n">
        <f aca="false">IFERROR(INDEX(04_Precios!$D$5:$D$59,MATCH($A40,04_Precios!$A$5:$A$59,0)),"")</f>
        <v>0</v>
      </c>
      <c r="E40" s="17" t="n">
        <f aca="false">IFERROR(INDEX(04_Precios!$H$5:$H$59,MATCH($A40,04_Precios!$A$5:$A$59,0)),"")</f>
        <v>0</v>
      </c>
      <c r="F40" s="17" t="str">
        <f aca="false">IF(OR(D40="",E40=""),"",D40-E40)</f>
        <v/>
      </c>
      <c r="G40" s="18" t="str">
        <f aca="false">IFERROR(F40/D40,"")</f>
        <v/>
      </c>
      <c r="H40" s="12" t="n">
        <f aca="false">IFERROR(INDEX(12_Estadísticas!$C$5:$C$59,MATCH($A40,12_Estadísticas!$A$5:$A$59,0)),"")</f>
        <v>0</v>
      </c>
      <c r="I40" s="18" t="str">
        <f aca="false">IFERROR(H40/SUMIF($C$5:$C$59,C40,$H$5:$H$59),"")</f>
        <v/>
      </c>
      <c r="J40" s="12" t="n">
        <f aca="false">IFERROR(AVERAGEIF($C$5:$C$59,C40,$H$5:$H$59),"")</f>
        <v>0</v>
      </c>
      <c r="K40" s="12" t="str">
        <f aca="false">IFERROR(AVERAGEIF($C$5:$C$59,C40,$F$5:$F$59),"")</f>
        <v/>
      </c>
      <c r="L40" s="12" t="str">
        <f aca="false">IF(OR(D40="",E40="",H40=""),"Sin datos",IF(AND(H40&gt;=J40,F40&gt;=K40),"Estrella",IF(AND(H40&gt;=J40,F40&lt;K40),"Caballo de batalla",IF(AND(H40&lt;J40,F40&gt;=K40),"Incógnita","Perro"))))</f>
        <v>Sin datos</v>
      </c>
      <c r="M40" s="12" t="str">
        <f aca="false">IF(L40="Estrella","Mantener visibilidad",IF(L40="Caballo de batalla","Optimizar margen",IF(L40="Puzzle","Aumentar visibilidad",IF(L40="Perro","Revisar continuidad","Esperar datos"))))</f>
        <v>Esperar datos</v>
      </c>
      <c r="N40" s="12" t="str">
        <f aca="false">IF(L40="Estrella","Más pedido",IF(L40="Puzzle","Recomendado",IF(L40="Caballo de batalla","Clásico",IF(L40="Perro","",""))))</f>
        <v/>
      </c>
      <c r="O40" s="20"/>
      <c r="P40" s="20"/>
      <c r="Q40" s="2"/>
      <c r="R40" s="2"/>
      <c r="S40" s="2"/>
      <c r="T40" s="2"/>
      <c r="U40" s="2"/>
      <c r="V40" s="2"/>
      <c r="W40" s="2"/>
      <c r="X40" s="2"/>
      <c r="Y40" s="2"/>
      <c r="Z40" s="2"/>
    </row>
    <row r="41" customFormat="false" ht="42" hidden="false" customHeight="true" outlineLevel="0" collapsed="false">
      <c r="A41" s="12" t="s">
        <v>461</v>
      </c>
      <c r="B41" s="12" t="s">
        <v>462</v>
      </c>
      <c r="C41" s="12" t="s">
        <v>52</v>
      </c>
      <c r="D41" s="17" t="n">
        <f aca="false">IFERROR(INDEX(04_Precios!$D$5:$D$59,MATCH($A41,04_Precios!$A$5:$A$59,0)),"")</f>
        <v>0</v>
      </c>
      <c r="E41" s="17" t="n">
        <f aca="false">IFERROR(INDEX(04_Precios!$H$5:$H$59,MATCH($A41,04_Precios!$A$5:$A$59,0)),"")</f>
        <v>0</v>
      </c>
      <c r="F41" s="17" t="str">
        <f aca="false">IF(OR(D41="",E41=""),"",D41-E41)</f>
        <v/>
      </c>
      <c r="G41" s="18" t="str">
        <f aca="false">IFERROR(F41/D41,"")</f>
        <v/>
      </c>
      <c r="H41" s="12" t="n">
        <f aca="false">IFERROR(INDEX(12_Estadísticas!$C$5:$C$59,MATCH($A41,12_Estadísticas!$A$5:$A$59,0)),"")</f>
        <v>0</v>
      </c>
      <c r="I41" s="18" t="str">
        <f aca="false">IFERROR(H41/SUMIF($C$5:$C$59,C41,$H$5:$H$59),"")</f>
        <v/>
      </c>
      <c r="J41" s="12" t="n">
        <f aca="false">IFERROR(AVERAGEIF($C$5:$C$59,C41,$H$5:$H$59),"")</f>
        <v>0</v>
      </c>
      <c r="K41" s="12" t="str">
        <f aca="false">IFERROR(AVERAGEIF($C$5:$C$59,C41,$F$5:$F$59),"")</f>
        <v/>
      </c>
      <c r="L41" s="12" t="str">
        <f aca="false">IF(OR(D41="",E41="",H41=""),"Sin datos",IF(AND(H41&gt;=J41,F41&gt;=K41),"Estrella",IF(AND(H41&gt;=J41,F41&lt;K41),"Caballo de batalla",IF(AND(H41&lt;J41,F41&gt;=K41),"Incógnita","Perro"))))</f>
        <v>Sin datos</v>
      </c>
      <c r="M41" s="12" t="str">
        <f aca="false">IF(L41="Estrella","Mantener visibilidad",IF(L41="Caballo de batalla","Optimizar margen",IF(L41="Puzzle","Aumentar visibilidad",IF(L41="Perro","Revisar continuidad","Esperar datos"))))</f>
        <v>Esperar datos</v>
      </c>
      <c r="N41" s="12" t="str">
        <f aca="false">IF(L41="Estrella","Más pedido",IF(L41="Puzzle","Recomendado",IF(L41="Caballo de batalla","Clásico",IF(L41="Perro","",""))))</f>
        <v/>
      </c>
      <c r="O41" s="20"/>
      <c r="P41" s="20"/>
      <c r="Q41" s="2"/>
      <c r="R41" s="2"/>
      <c r="S41" s="2"/>
      <c r="T41" s="2"/>
      <c r="U41" s="2"/>
      <c r="V41" s="2"/>
      <c r="W41" s="2"/>
      <c r="X41" s="2"/>
      <c r="Y41" s="2"/>
      <c r="Z41" s="2"/>
    </row>
    <row r="42" customFormat="false" ht="42" hidden="false" customHeight="true" outlineLevel="0" collapsed="false">
      <c r="A42" s="12" t="s">
        <v>471</v>
      </c>
      <c r="B42" s="12" t="s">
        <v>472</v>
      </c>
      <c r="C42" s="12" t="s">
        <v>53</v>
      </c>
      <c r="D42" s="17" t="n">
        <f aca="false">IFERROR(INDEX(04_Precios!$D$5:$D$59,MATCH($A42,04_Precios!$A$5:$A$59,0)),"")</f>
        <v>0</v>
      </c>
      <c r="E42" s="17" t="n">
        <f aca="false">IFERROR(INDEX(04_Precios!$H$5:$H$59,MATCH($A42,04_Precios!$A$5:$A$59,0)),"")</f>
        <v>0</v>
      </c>
      <c r="F42" s="17" t="str">
        <f aca="false">IF(OR(D42="",E42=""),"",D42-E42)</f>
        <v/>
      </c>
      <c r="G42" s="18" t="str">
        <f aca="false">IFERROR(F42/D42,"")</f>
        <v/>
      </c>
      <c r="H42" s="12" t="n">
        <f aca="false">IFERROR(INDEX(12_Estadísticas!$C$5:$C$59,MATCH($A42,12_Estadísticas!$A$5:$A$59,0)),"")</f>
        <v>0</v>
      </c>
      <c r="I42" s="18" t="str">
        <f aca="false">IFERROR(H42/SUMIF($C$5:$C$59,C42,$H$5:$H$59),"")</f>
        <v/>
      </c>
      <c r="J42" s="12" t="n">
        <f aca="false">IFERROR(AVERAGEIF($C$5:$C$59,C42,$H$5:$H$59),"")</f>
        <v>0</v>
      </c>
      <c r="K42" s="12" t="str">
        <f aca="false">IFERROR(AVERAGEIF($C$5:$C$59,C42,$F$5:$F$59),"")</f>
        <v/>
      </c>
      <c r="L42" s="12" t="str">
        <f aca="false">IF(OR(D42="",E42="",H42=""),"Sin datos",IF(AND(H42&gt;=J42,F42&gt;=K42),"Estrella",IF(AND(H42&gt;=J42,F42&lt;K42),"Caballo de batalla",IF(AND(H42&lt;J42,F42&gt;=K42),"Incógnita","Perro"))))</f>
        <v>Sin datos</v>
      </c>
      <c r="M42" s="12" t="str">
        <f aca="false">IF(L42="Estrella","Mantener visibilidad",IF(L42="Caballo de batalla","Optimizar margen",IF(L42="Puzzle","Aumentar visibilidad",IF(L42="Perro","Revisar continuidad","Esperar datos"))))</f>
        <v>Esperar datos</v>
      </c>
      <c r="N42" s="12" t="str">
        <f aca="false">IF(L42="Estrella","Más pedido",IF(L42="Puzzle","Recomendado",IF(L42="Caballo de batalla","Clásico",IF(L42="Perro","",""))))</f>
        <v/>
      </c>
      <c r="O42" s="20"/>
      <c r="P42" s="20"/>
      <c r="Q42" s="2"/>
      <c r="R42" s="2"/>
      <c r="S42" s="2"/>
      <c r="T42" s="2"/>
      <c r="U42" s="2"/>
      <c r="V42" s="2"/>
      <c r="W42" s="2"/>
      <c r="X42" s="2"/>
      <c r="Y42" s="2"/>
      <c r="Z42" s="2"/>
    </row>
    <row r="43" customFormat="false" ht="42" hidden="false" customHeight="true" outlineLevel="0" collapsed="false">
      <c r="A43" s="12" t="s">
        <v>482</v>
      </c>
      <c r="B43" s="12" t="s">
        <v>483</v>
      </c>
      <c r="C43" s="12" t="s">
        <v>53</v>
      </c>
      <c r="D43" s="17" t="n">
        <f aca="false">IFERROR(INDEX(04_Precios!$D$5:$D$59,MATCH($A43,04_Precios!$A$5:$A$59,0)),"")</f>
        <v>0</v>
      </c>
      <c r="E43" s="17" t="n">
        <f aca="false">IFERROR(INDEX(04_Precios!$H$5:$H$59,MATCH($A43,04_Precios!$A$5:$A$59,0)),"")</f>
        <v>0</v>
      </c>
      <c r="F43" s="17" t="str">
        <f aca="false">IF(OR(D43="",E43=""),"",D43-E43)</f>
        <v/>
      </c>
      <c r="G43" s="18" t="str">
        <f aca="false">IFERROR(F43/D43,"")</f>
        <v/>
      </c>
      <c r="H43" s="12" t="n">
        <f aca="false">IFERROR(INDEX(12_Estadísticas!$C$5:$C$59,MATCH($A43,12_Estadísticas!$A$5:$A$59,0)),"")</f>
        <v>0</v>
      </c>
      <c r="I43" s="18" t="str">
        <f aca="false">IFERROR(H43/SUMIF($C$5:$C$59,C43,$H$5:$H$59),"")</f>
        <v/>
      </c>
      <c r="J43" s="12" t="n">
        <f aca="false">IFERROR(AVERAGEIF($C$5:$C$59,C43,$H$5:$H$59),"")</f>
        <v>0</v>
      </c>
      <c r="K43" s="12" t="str">
        <f aca="false">IFERROR(AVERAGEIF($C$5:$C$59,C43,$F$5:$F$59),"")</f>
        <v/>
      </c>
      <c r="L43" s="12" t="str">
        <f aca="false">IF(OR(D43="",E43="",H43=""),"Sin datos",IF(AND(H43&gt;=J43,F43&gt;=K43),"Estrella",IF(AND(H43&gt;=J43,F43&lt;K43),"Caballo de batalla",IF(AND(H43&lt;J43,F43&gt;=K43),"Incógnita","Perro"))))</f>
        <v>Sin datos</v>
      </c>
      <c r="M43" s="12" t="str">
        <f aca="false">IF(L43="Estrella","Mantener visibilidad",IF(L43="Caballo de batalla","Optimizar margen",IF(L43="Puzzle","Aumentar visibilidad",IF(L43="Perro","Revisar continuidad","Esperar datos"))))</f>
        <v>Esperar datos</v>
      </c>
      <c r="N43" s="12" t="str">
        <f aca="false">IF(L43="Estrella","Más pedido",IF(L43="Puzzle","Recomendado",IF(L43="Caballo de batalla","Clásico",IF(L43="Perro","",""))))</f>
        <v/>
      </c>
      <c r="O43" s="20"/>
      <c r="P43" s="20"/>
      <c r="Q43" s="2"/>
      <c r="R43" s="2"/>
      <c r="S43" s="2"/>
      <c r="T43" s="2"/>
      <c r="U43" s="2"/>
      <c r="V43" s="2"/>
      <c r="W43" s="2"/>
      <c r="X43" s="2"/>
      <c r="Y43" s="2"/>
      <c r="Z43" s="2"/>
    </row>
    <row r="44" customFormat="false" ht="42" hidden="false" customHeight="true" outlineLevel="0" collapsed="false">
      <c r="A44" s="12" t="s">
        <v>493</v>
      </c>
      <c r="B44" s="12" t="s">
        <v>494</v>
      </c>
      <c r="C44" s="12" t="s">
        <v>54</v>
      </c>
      <c r="D44" s="17" t="n">
        <f aca="false">IFERROR(INDEX(04_Precios!$D$5:$D$59,MATCH($A44,04_Precios!$A$5:$A$59,0)),"")</f>
        <v>0</v>
      </c>
      <c r="E44" s="17" t="n">
        <f aca="false">IFERROR(INDEX(04_Precios!$H$5:$H$59,MATCH($A44,04_Precios!$A$5:$A$59,0)),"")</f>
        <v>0</v>
      </c>
      <c r="F44" s="17" t="str">
        <f aca="false">IF(OR(D44="",E44=""),"",D44-E44)</f>
        <v/>
      </c>
      <c r="G44" s="18" t="str">
        <f aca="false">IFERROR(F44/D44,"")</f>
        <v/>
      </c>
      <c r="H44" s="12" t="n">
        <f aca="false">IFERROR(INDEX(12_Estadísticas!$C$5:$C$59,MATCH($A44,12_Estadísticas!$A$5:$A$59,0)),"")</f>
        <v>0</v>
      </c>
      <c r="I44" s="18" t="str">
        <f aca="false">IFERROR(H44/SUMIF($C$5:$C$59,C44,$H$5:$H$59),"")</f>
        <v/>
      </c>
      <c r="J44" s="12" t="n">
        <f aca="false">IFERROR(AVERAGEIF($C$5:$C$59,C44,$H$5:$H$59),"")</f>
        <v>0</v>
      </c>
      <c r="K44" s="12" t="str">
        <f aca="false">IFERROR(AVERAGEIF($C$5:$C$59,C44,$F$5:$F$59),"")</f>
        <v/>
      </c>
      <c r="L44" s="12" t="str">
        <f aca="false">IF(OR(D44="",E44="",H44=""),"Sin datos",IF(AND(H44&gt;=J44,F44&gt;=K44),"Estrella",IF(AND(H44&gt;=J44,F44&lt;K44),"Caballo de batalla",IF(AND(H44&lt;J44,F44&gt;=K44),"Incógnita","Perro"))))</f>
        <v>Sin datos</v>
      </c>
      <c r="M44" s="12" t="str">
        <f aca="false">IF(L44="Estrella","Mantener visibilidad",IF(L44="Caballo de batalla","Optimizar margen",IF(L44="Puzzle","Aumentar visibilidad",IF(L44="Perro","Revisar continuidad","Esperar datos"))))</f>
        <v>Esperar datos</v>
      </c>
      <c r="N44" s="12" t="str">
        <f aca="false">IF(L44="Estrella","Más pedido",IF(L44="Puzzle","Recomendado",IF(L44="Caballo de batalla","Clásico",IF(L44="Perro","",""))))</f>
        <v/>
      </c>
      <c r="O44" s="20"/>
      <c r="P44" s="20"/>
      <c r="Q44" s="2"/>
      <c r="R44" s="2"/>
      <c r="S44" s="2"/>
      <c r="T44" s="2"/>
      <c r="U44" s="2"/>
      <c r="V44" s="2"/>
      <c r="W44" s="2"/>
      <c r="X44" s="2"/>
      <c r="Y44" s="2"/>
      <c r="Z44" s="2"/>
    </row>
    <row r="45" customFormat="false" ht="42" hidden="false" customHeight="true" outlineLevel="0" collapsed="false">
      <c r="A45" s="12" t="s">
        <v>504</v>
      </c>
      <c r="B45" s="12" t="s">
        <v>505</v>
      </c>
      <c r="C45" s="12" t="s">
        <v>54</v>
      </c>
      <c r="D45" s="17" t="n">
        <f aca="false">IFERROR(INDEX(04_Precios!$D$5:$D$59,MATCH($A45,04_Precios!$A$5:$A$59,0)),"")</f>
        <v>0</v>
      </c>
      <c r="E45" s="17" t="n">
        <f aca="false">IFERROR(INDEX(04_Precios!$H$5:$H$59,MATCH($A45,04_Precios!$A$5:$A$59,0)),"")</f>
        <v>0</v>
      </c>
      <c r="F45" s="17" t="str">
        <f aca="false">IF(OR(D45="",E45=""),"",D45-E45)</f>
        <v/>
      </c>
      <c r="G45" s="18" t="str">
        <f aca="false">IFERROR(F45/D45,"")</f>
        <v/>
      </c>
      <c r="H45" s="12" t="n">
        <f aca="false">IFERROR(INDEX(12_Estadísticas!$C$5:$C$59,MATCH($A45,12_Estadísticas!$A$5:$A$59,0)),"")</f>
        <v>0</v>
      </c>
      <c r="I45" s="18" t="str">
        <f aca="false">IFERROR(H45/SUMIF($C$5:$C$59,C45,$H$5:$H$59),"")</f>
        <v/>
      </c>
      <c r="J45" s="12" t="n">
        <f aca="false">IFERROR(AVERAGEIF($C$5:$C$59,C45,$H$5:$H$59),"")</f>
        <v>0</v>
      </c>
      <c r="K45" s="12" t="str">
        <f aca="false">IFERROR(AVERAGEIF($C$5:$C$59,C45,$F$5:$F$59),"")</f>
        <v/>
      </c>
      <c r="L45" s="12" t="str">
        <f aca="false">IF(OR(D45="",E45="",H45=""),"Sin datos",IF(AND(H45&gt;=J45,F45&gt;=K45),"Estrella",IF(AND(H45&gt;=J45,F45&lt;K45),"Caballo de batalla",IF(AND(H45&lt;J45,F45&gt;=K45),"Incógnita","Perro"))))</f>
        <v>Sin datos</v>
      </c>
      <c r="M45" s="12" t="str">
        <f aca="false">IF(L45="Estrella","Mantener visibilidad",IF(L45="Caballo de batalla","Optimizar margen",IF(L45="Puzzle","Aumentar visibilidad",IF(L45="Perro","Revisar continuidad","Esperar datos"))))</f>
        <v>Esperar datos</v>
      </c>
      <c r="N45" s="12" t="str">
        <f aca="false">IF(L45="Estrella","Más pedido",IF(L45="Puzzle","Recomendado",IF(L45="Caballo de batalla","Clásico",IF(L45="Perro","",""))))</f>
        <v/>
      </c>
      <c r="O45" s="20"/>
      <c r="P45" s="20"/>
      <c r="Q45" s="2"/>
      <c r="R45" s="2"/>
      <c r="S45" s="2"/>
      <c r="T45" s="2"/>
      <c r="U45" s="2"/>
      <c r="V45" s="2"/>
      <c r="W45" s="2"/>
      <c r="X45" s="2"/>
      <c r="Y45" s="2"/>
      <c r="Z45" s="2"/>
    </row>
    <row r="46" customFormat="false" ht="42" hidden="false" customHeight="true" outlineLevel="0" collapsed="false">
      <c r="A46" s="12" t="s">
        <v>515</v>
      </c>
      <c r="B46" s="12" t="s">
        <v>516</v>
      </c>
      <c r="C46" s="12" t="s">
        <v>54</v>
      </c>
      <c r="D46" s="17" t="n">
        <f aca="false">IFERROR(INDEX(04_Precios!$D$5:$D$59,MATCH($A46,04_Precios!$A$5:$A$59,0)),"")</f>
        <v>0</v>
      </c>
      <c r="E46" s="17" t="n">
        <f aca="false">IFERROR(INDEX(04_Precios!$H$5:$H$59,MATCH($A46,04_Precios!$A$5:$A$59,0)),"")</f>
        <v>0</v>
      </c>
      <c r="F46" s="17" t="str">
        <f aca="false">IF(OR(D46="",E46=""),"",D46-E46)</f>
        <v/>
      </c>
      <c r="G46" s="18" t="str">
        <f aca="false">IFERROR(F46/D46,"")</f>
        <v/>
      </c>
      <c r="H46" s="12" t="n">
        <f aca="false">IFERROR(INDEX(12_Estadísticas!$C$5:$C$59,MATCH($A46,12_Estadísticas!$A$5:$A$59,0)),"")</f>
        <v>0</v>
      </c>
      <c r="I46" s="18" t="str">
        <f aca="false">IFERROR(H46/SUMIF($C$5:$C$59,C46,$H$5:$H$59),"")</f>
        <v/>
      </c>
      <c r="J46" s="12" t="n">
        <f aca="false">IFERROR(AVERAGEIF($C$5:$C$59,C46,$H$5:$H$59),"")</f>
        <v>0</v>
      </c>
      <c r="K46" s="12" t="str">
        <f aca="false">IFERROR(AVERAGEIF($C$5:$C$59,C46,$F$5:$F$59),"")</f>
        <v/>
      </c>
      <c r="L46" s="12" t="str">
        <f aca="false">IF(OR(D46="",E46="",H46=""),"Sin datos",IF(AND(H46&gt;=J46,F46&gt;=K46),"Estrella",IF(AND(H46&gt;=J46,F46&lt;K46),"Caballo de batalla",IF(AND(H46&lt;J46,F46&gt;=K46),"Incógnita","Perro"))))</f>
        <v>Sin datos</v>
      </c>
      <c r="M46" s="12" t="str">
        <f aca="false">IF(L46="Estrella","Mantener visibilidad",IF(L46="Caballo de batalla","Optimizar margen",IF(L46="Puzzle","Aumentar visibilidad",IF(L46="Perro","Revisar continuidad","Esperar datos"))))</f>
        <v>Esperar datos</v>
      </c>
      <c r="N46" s="12" t="str">
        <f aca="false">IF(L46="Estrella","Más pedido",IF(L46="Puzzle","Recomendado",IF(L46="Caballo de batalla","Clásico",IF(L46="Perro","",""))))</f>
        <v/>
      </c>
      <c r="O46" s="20"/>
      <c r="P46" s="20"/>
      <c r="Q46" s="2"/>
      <c r="R46" s="2"/>
      <c r="S46" s="2"/>
      <c r="T46" s="2"/>
      <c r="U46" s="2"/>
      <c r="V46" s="2"/>
      <c r="W46" s="2"/>
      <c r="X46" s="2"/>
      <c r="Y46" s="2"/>
      <c r="Z46" s="2"/>
    </row>
    <row r="47" customFormat="false" ht="42" hidden="false" customHeight="true" outlineLevel="0" collapsed="false">
      <c r="A47" s="12" t="s">
        <v>526</v>
      </c>
      <c r="B47" s="12" t="s">
        <v>527</v>
      </c>
      <c r="C47" s="12" t="s">
        <v>54</v>
      </c>
      <c r="D47" s="17" t="n">
        <f aca="false">IFERROR(INDEX(04_Precios!$D$5:$D$59,MATCH($A47,04_Precios!$A$5:$A$59,0)),"")</f>
        <v>0</v>
      </c>
      <c r="E47" s="17" t="n">
        <f aca="false">IFERROR(INDEX(04_Precios!$H$5:$H$59,MATCH($A47,04_Precios!$A$5:$A$59,0)),"")</f>
        <v>0</v>
      </c>
      <c r="F47" s="17" t="str">
        <f aca="false">IF(OR(D47="",E47=""),"",D47-E47)</f>
        <v/>
      </c>
      <c r="G47" s="18" t="str">
        <f aca="false">IFERROR(F47/D47,"")</f>
        <v/>
      </c>
      <c r="H47" s="12" t="n">
        <f aca="false">IFERROR(INDEX(12_Estadísticas!$C$5:$C$59,MATCH($A47,12_Estadísticas!$A$5:$A$59,0)),"")</f>
        <v>0</v>
      </c>
      <c r="I47" s="18" t="str">
        <f aca="false">IFERROR(H47/SUMIF($C$5:$C$59,C47,$H$5:$H$59),"")</f>
        <v/>
      </c>
      <c r="J47" s="12" t="n">
        <f aca="false">IFERROR(AVERAGEIF($C$5:$C$59,C47,$H$5:$H$59),"")</f>
        <v>0</v>
      </c>
      <c r="K47" s="12" t="str">
        <f aca="false">IFERROR(AVERAGEIF($C$5:$C$59,C47,$F$5:$F$59),"")</f>
        <v/>
      </c>
      <c r="L47" s="12" t="str">
        <f aca="false">IF(OR(D47="",E47="",H47=""),"Sin datos",IF(AND(H47&gt;=J47,F47&gt;=K47),"Estrella",IF(AND(H47&gt;=J47,F47&lt;K47),"Caballo de batalla",IF(AND(H47&lt;J47,F47&gt;=K47),"Incógnita","Perro"))))</f>
        <v>Sin datos</v>
      </c>
      <c r="M47" s="12" t="str">
        <f aca="false">IF(L47="Estrella","Mantener visibilidad",IF(L47="Caballo de batalla","Optimizar margen",IF(L47="Puzzle","Aumentar visibilidad",IF(L47="Perro","Revisar continuidad","Esperar datos"))))</f>
        <v>Esperar datos</v>
      </c>
      <c r="N47" s="12" t="str">
        <f aca="false">IF(L47="Estrella","Más pedido",IF(L47="Puzzle","Recomendado",IF(L47="Caballo de batalla","Clásico",IF(L47="Perro","",""))))</f>
        <v/>
      </c>
      <c r="O47" s="20"/>
      <c r="P47" s="20"/>
      <c r="Q47" s="2"/>
      <c r="R47" s="2"/>
      <c r="S47" s="2"/>
      <c r="T47" s="2"/>
      <c r="U47" s="2"/>
      <c r="V47" s="2"/>
      <c r="W47" s="2"/>
      <c r="X47" s="2"/>
      <c r="Y47" s="2"/>
      <c r="Z47" s="2"/>
    </row>
    <row r="48" customFormat="false" ht="42" hidden="false" customHeight="true" outlineLevel="0" collapsed="false">
      <c r="A48" s="12" t="s">
        <v>537</v>
      </c>
      <c r="B48" s="12" t="s">
        <v>538</v>
      </c>
      <c r="C48" s="12" t="s">
        <v>55</v>
      </c>
      <c r="D48" s="17" t="n">
        <f aca="false">IFERROR(INDEX(04_Precios!$D$5:$D$59,MATCH($A48,04_Precios!$A$5:$A$59,0)),"")</f>
        <v>0</v>
      </c>
      <c r="E48" s="17" t="n">
        <f aca="false">IFERROR(INDEX(04_Precios!$H$5:$H$59,MATCH($A48,04_Precios!$A$5:$A$59,0)),"")</f>
        <v>0</v>
      </c>
      <c r="F48" s="17" t="str">
        <f aca="false">IF(OR(D48="",E48=""),"",D48-E48)</f>
        <v/>
      </c>
      <c r="G48" s="18" t="str">
        <f aca="false">IFERROR(F48/D48,"")</f>
        <v/>
      </c>
      <c r="H48" s="12" t="n">
        <f aca="false">IFERROR(INDEX(12_Estadísticas!$C$5:$C$59,MATCH($A48,12_Estadísticas!$A$5:$A$59,0)),"")</f>
        <v>0</v>
      </c>
      <c r="I48" s="18" t="str">
        <f aca="false">IFERROR(H48/SUMIF($C$5:$C$59,C48,$H$5:$H$59),"")</f>
        <v/>
      </c>
      <c r="J48" s="12" t="n">
        <f aca="false">IFERROR(AVERAGEIF($C$5:$C$59,C48,$H$5:$H$59),"")</f>
        <v>0</v>
      </c>
      <c r="K48" s="12" t="str">
        <f aca="false">IFERROR(AVERAGEIF($C$5:$C$59,C48,$F$5:$F$59),"")</f>
        <v/>
      </c>
      <c r="L48" s="12" t="str">
        <f aca="false">IF(OR(D48="",E48="",H48=""),"Sin datos",IF(AND(H48&gt;=J48,F48&gt;=K48),"Estrella",IF(AND(H48&gt;=J48,F48&lt;K48),"Caballo de batalla",IF(AND(H48&lt;J48,F48&gt;=K48),"Incógnita","Perro"))))</f>
        <v>Sin datos</v>
      </c>
      <c r="M48" s="12" t="str">
        <f aca="false">IF(L48="Estrella","Mantener visibilidad",IF(L48="Caballo de batalla","Optimizar margen",IF(L48="Puzzle","Aumentar visibilidad",IF(L48="Perro","Revisar continuidad","Esperar datos"))))</f>
        <v>Esperar datos</v>
      </c>
      <c r="N48" s="12" t="str">
        <f aca="false">IF(L48="Estrella","Más pedido",IF(L48="Puzzle","Recomendado",IF(L48="Caballo de batalla","Clásico",IF(L48="Perro","",""))))</f>
        <v/>
      </c>
      <c r="O48" s="20"/>
      <c r="P48" s="20"/>
      <c r="Q48" s="2"/>
      <c r="R48" s="2"/>
      <c r="S48" s="2"/>
      <c r="T48" s="2"/>
      <c r="U48" s="2"/>
      <c r="V48" s="2"/>
      <c r="W48" s="2"/>
      <c r="X48" s="2"/>
      <c r="Y48" s="2"/>
      <c r="Z48" s="2"/>
    </row>
    <row r="49" customFormat="false" ht="42" hidden="false" customHeight="true" outlineLevel="0" collapsed="false">
      <c r="A49" s="12" t="s">
        <v>548</v>
      </c>
      <c r="B49" s="12" t="s">
        <v>549</v>
      </c>
      <c r="C49" s="12" t="s">
        <v>55</v>
      </c>
      <c r="D49" s="17" t="n">
        <f aca="false">IFERROR(INDEX(04_Precios!$D$5:$D$59,MATCH($A49,04_Precios!$A$5:$A$59,0)),"")</f>
        <v>0</v>
      </c>
      <c r="E49" s="17" t="n">
        <f aca="false">IFERROR(INDEX(04_Precios!$H$5:$H$59,MATCH($A49,04_Precios!$A$5:$A$59,0)),"")</f>
        <v>0</v>
      </c>
      <c r="F49" s="17" t="str">
        <f aca="false">IF(OR(D49="",E49=""),"",D49-E49)</f>
        <v/>
      </c>
      <c r="G49" s="18" t="str">
        <f aca="false">IFERROR(F49/D49,"")</f>
        <v/>
      </c>
      <c r="H49" s="12" t="n">
        <f aca="false">IFERROR(INDEX(12_Estadísticas!$C$5:$C$59,MATCH($A49,12_Estadísticas!$A$5:$A$59,0)),"")</f>
        <v>0</v>
      </c>
      <c r="I49" s="18" t="str">
        <f aca="false">IFERROR(H49/SUMIF($C$5:$C$59,C49,$H$5:$H$59),"")</f>
        <v/>
      </c>
      <c r="J49" s="12" t="n">
        <f aca="false">IFERROR(AVERAGEIF($C$5:$C$59,C49,$H$5:$H$59),"")</f>
        <v>0</v>
      </c>
      <c r="K49" s="12" t="str">
        <f aca="false">IFERROR(AVERAGEIF($C$5:$C$59,C49,$F$5:$F$59),"")</f>
        <v/>
      </c>
      <c r="L49" s="12" t="str">
        <f aca="false">IF(OR(D49="",E49="",H49=""),"Sin datos",IF(AND(H49&gt;=J49,F49&gt;=K49),"Estrella",IF(AND(H49&gt;=J49,F49&lt;K49),"Caballo de batalla",IF(AND(H49&lt;J49,F49&gt;=K49),"Incógnita","Perro"))))</f>
        <v>Sin datos</v>
      </c>
      <c r="M49" s="12" t="str">
        <f aca="false">IF(L49="Estrella","Mantener visibilidad",IF(L49="Caballo de batalla","Optimizar margen",IF(L49="Puzzle","Aumentar visibilidad",IF(L49="Perro","Revisar continuidad","Esperar datos"))))</f>
        <v>Esperar datos</v>
      </c>
      <c r="N49" s="12" t="str">
        <f aca="false">IF(L49="Estrella","Más pedido",IF(L49="Puzzle","Recomendado",IF(L49="Caballo de batalla","Clásico",IF(L49="Perro","",""))))</f>
        <v/>
      </c>
      <c r="O49" s="20"/>
      <c r="P49" s="20"/>
      <c r="Q49" s="2"/>
      <c r="R49" s="2"/>
      <c r="S49" s="2"/>
      <c r="T49" s="2"/>
      <c r="U49" s="2"/>
      <c r="V49" s="2"/>
      <c r="W49" s="2"/>
      <c r="X49" s="2"/>
      <c r="Y49" s="2"/>
      <c r="Z49" s="2"/>
    </row>
    <row r="50" customFormat="false" ht="42" hidden="false" customHeight="true" outlineLevel="0" collapsed="false">
      <c r="A50" s="12" t="s">
        <v>559</v>
      </c>
      <c r="B50" s="12" t="s">
        <v>560</v>
      </c>
      <c r="C50" s="12" t="s">
        <v>55</v>
      </c>
      <c r="D50" s="17" t="n">
        <f aca="false">IFERROR(INDEX(04_Precios!$D$5:$D$59,MATCH($A50,04_Precios!$A$5:$A$59,0)),"")</f>
        <v>0</v>
      </c>
      <c r="E50" s="17" t="n">
        <f aca="false">IFERROR(INDEX(04_Precios!$H$5:$H$59,MATCH($A50,04_Precios!$A$5:$A$59,0)),"")</f>
        <v>0</v>
      </c>
      <c r="F50" s="17" t="str">
        <f aca="false">IF(OR(D50="",E50=""),"",D50-E50)</f>
        <v/>
      </c>
      <c r="G50" s="18" t="str">
        <f aca="false">IFERROR(F50/D50,"")</f>
        <v/>
      </c>
      <c r="H50" s="12" t="n">
        <f aca="false">IFERROR(INDEX(12_Estadísticas!$C$5:$C$59,MATCH($A50,12_Estadísticas!$A$5:$A$59,0)),"")</f>
        <v>0</v>
      </c>
      <c r="I50" s="18" t="str">
        <f aca="false">IFERROR(H50/SUMIF($C$5:$C$59,C50,$H$5:$H$59),"")</f>
        <v/>
      </c>
      <c r="J50" s="12" t="n">
        <f aca="false">IFERROR(AVERAGEIF($C$5:$C$59,C50,$H$5:$H$59),"")</f>
        <v>0</v>
      </c>
      <c r="K50" s="12" t="str">
        <f aca="false">IFERROR(AVERAGEIF($C$5:$C$59,C50,$F$5:$F$59),"")</f>
        <v/>
      </c>
      <c r="L50" s="12" t="str">
        <f aca="false">IF(OR(D50="",E50="",H50=""),"Sin datos",IF(AND(H50&gt;=J50,F50&gt;=K50),"Estrella",IF(AND(H50&gt;=J50,F50&lt;K50),"Caballo de batalla",IF(AND(H50&lt;J50,F50&gt;=K50),"Incógnita","Perro"))))</f>
        <v>Sin datos</v>
      </c>
      <c r="M50" s="12" t="str">
        <f aca="false">IF(L50="Estrella","Mantener visibilidad",IF(L50="Caballo de batalla","Optimizar margen",IF(L50="Puzzle","Aumentar visibilidad",IF(L50="Perro","Revisar continuidad","Esperar datos"))))</f>
        <v>Esperar datos</v>
      </c>
      <c r="N50" s="12" t="str">
        <f aca="false">IF(L50="Estrella","Más pedido",IF(L50="Puzzle","Recomendado",IF(L50="Caballo de batalla","Clásico",IF(L50="Perro","",""))))</f>
        <v/>
      </c>
      <c r="O50" s="20"/>
      <c r="P50" s="20"/>
      <c r="Q50" s="2"/>
      <c r="R50" s="2"/>
      <c r="S50" s="2"/>
      <c r="T50" s="2"/>
      <c r="U50" s="2"/>
      <c r="V50" s="2"/>
      <c r="W50" s="2"/>
      <c r="X50" s="2"/>
      <c r="Y50" s="2"/>
      <c r="Z50" s="2"/>
    </row>
    <row r="51" customFormat="false" ht="42" hidden="false" customHeight="true" outlineLevel="0" collapsed="false">
      <c r="A51" s="12" t="s">
        <v>570</v>
      </c>
      <c r="B51" s="12" t="s">
        <v>571</v>
      </c>
      <c r="C51" s="12" t="s">
        <v>55</v>
      </c>
      <c r="D51" s="17" t="n">
        <f aca="false">IFERROR(INDEX(04_Precios!$D$5:$D$59,MATCH($A51,04_Precios!$A$5:$A$59,0)),"")</f>
        <v>0</v>
      </c>
      <c r="E51" s="17" t="n">
        <f aca="false">IFERROR(INDEX(04_Precios!$H$5:$H$59,MATCH($A51,04_Precios!$A$5:$A$59,0)),"")</f>
        <v>0</v>
      </c>
      <c r="F51" s="17" t="str">
        <f aca="false">IF(OR(D51="",E51=""),"",D51-E51)</f>
        <v/>
      </c>
      <c r="G51" s="18" t="str">
        <f aca="false">IFERROR(F51/D51,"")</f>
        <v/>
      </c>
      <c r="H51" s="12" t="n">
        <f aca="false">IFERROR(INDEX(12_Estadísticas!$C$5:$C$59,MATCH($A51,12_Estadísticas!$A$5:$A$59,0)),"")</f>
        <v>0</v>
      </c>
      <c r="I51" s="18" t="str">
        <f aca="false">IFERROR(H51/SUMIF($C$5:$C$59,C51,$H$5:$H$59),"")</f>
        <v/>
      </c>
      <c r="J51" s="12" t="n">
        <f aca="false">IFERROR(AVERAGEIF($C$5:$C$59,C51,$H$5:$H$59),"")</f>
        <v>0</v>
      </c>
      <c r="K51" s="12" t="str">
        <f aca="false">IFERROR(AVERAGEIF($C$5:$C$59,C51,$F$5:$F$59),"")</f>
        <v/>
      </c>
      <c r="L51" s="12" t="str">
        <f aca="false">IF(OR(D51="",E51="",H51=""),"Sin datos",IF(AND(H51&gt;=J51,F51&gt;=K51),"Estrella",IF(AND(H51&gt;=J51,F51&lt;K51),"Caballo de batalla",IF(AND(H51&lt;J51,F51&gt;=K51),"Incógnita","Perro"))))</f>
        <v>Sin datos</v>
      </c>
      <c r="M51" s="12" t="str">
        <f aca="false">IF(L51="Estrella","Mantener visibilidad",IF(L51="Caballo de batalla","Optimizar margen",IF(L51="Puzzle","Aumentar visibilidad",IF(L51="Perro","Revisar continuidad","Esperar datos"))))</f>
        <v>Esperar datos</v>
      </c>
      <c r="N51" s="12" t="str">
        <f aca="false">IF(L51="Estrella","Más pedido",IF(L51="Puzzle","Recomendado",IF(L51="Caballo de batalla","Clásico",IF(L51="Perro","",""))))</f>
        <v/>
      </c>
      <c r="O51" s="20"/>
      <c r="P51" s="20"/>
      <c r="Q51" s="2"/>
      <c r="R51" s="2"/>
      <c r="S51" s="2"/>
      <c r="T51" s="2"/>
      <c r="U51" s="2"/>
      <c r="V51" s="2"/>
      <c r="W51" s="2"/>
      <c r="X51" s="2"/>
      <c r="Y51" s="2"/>
      <c r="Z51" s="2"/>
    </row>
    <row r="52" customFormat="false" ht="42" hidden="false" customHeight="true" outlineLevel="0" collapsed="false">
      <c r="A52" s="12" t="s">
        <v>581</v>
      </c>
      <c r="B52" s="12" t="s">
        <v>582</v>
      </c>
      <c r="C52" s="12" t="s">
        <v>55</v>
      </c>
      <c r="D52" s="17" t="n">
        <f aca="false">IFERROR(INDEX(04_Precios!$D$5:$D$59,MATCH($A52,04_Precios!$A$5:$A$59,0)),"")</f>
        <v>0</v>
      </c>
      <c r="E52" s="17" t="n">
        <f aca="false">IFERROR(INDEX(04_Precios!$H$5:$H$59,MATCH($A52,04_Precios!$A$5:$A$59,0)),"")</f>
        <v>0</v>
      </c>
      <c r="F52" s="17" t="str">
        <f aca="false">IF(OR(D52="",E52=""),"",D52-E52)</f>
        <v/>
      </c>
      <c r="G52" s="18" t="str">
        <f aca="false">IFERROR(F52/D52,"")</f>
        <v/>
      </c>
      <c r="H52" s="12" t="n">
        <f aca="false">IFERROR(INDEX(12_Estadísticas!$C$5:$C$59,MATCH($A52,12_Estadísticas!$A$5:$A$59,0)),"")</f>
        <v>0</v>
      </c>
      <c r="I52" s="18" t="str">
        <f aca="false">IFERROR(H52/SUMIF($C$5:$C$59,C52,$H$5:$H$59),"")</f>
        <v/>
      </c>
      <c r="J52" s="12" t="n">
        <f aca="false">IFERROR(AVERAGEIF($C$5:$C$59,C52,$H$5:$H$59),"")</f>
        <v>0</v>
      </c>
      <c r="K52" s="12" t="str">
        <f aca="false">IFERROR(AVERAGEIF($C$5:$C$59,C52,$F$5:$F$59),"")</f>
        <v/>
      </c>
      <c r="L52" s="12" t="str">
        <f aca="false">IF(OR(D52="",E52="",H52=""),"Sin datos",IF(AND(H52&gt;=J52,F52&gt;=K52),"Estrella",IF(AND(H52&gt;=J52,F52&lt;K52),"Caballo de batalla",IF(AND(H52&lt;J52,F52&gt;=K52),"Incógnita","Perro"))))</f>
        <v>Sin datos</v>
      </c>
      <c r="M52" s="12" t="str">
        <f aca="false">IF(L52="Estrella","Mantener visibilidad",IF(L52="Caballo de batalla","Optimizar margen",IF(L52="Puzzle","Aumentar visibilidad",IF(L52="Perro","Revisar continuidad","Esperar datos"))))</f>
        <v>Esperar datos</v>
      </c>
      <c r="N52" s="12" t="str">
        <f aca="false">IF(L52="Estrella","Más pedido",IF(L52="Puzzle","Recomendado",IF(L52="Caballo de batalla","Clásico",IF(L52="Perro","",""))))</f>
        <v/>
      </c>
      <c r="O52" s="20"/>
      <c r="P52" s="20"/>
      <c r="Q52" s="2"/>
      <c r="R52" s="2"/>
      <c r="S52" s="2"/>
      <c r="T52" s="2"/>
      <c r="U52" s="2"/>
      <c r="V52" s="2"/>
      <c r="W52" s="2"/>
      <c r="X52" s="2"/>
      <c r="Y52" s="2"/>
      <c r="Z52" s="2"/>
    </row>
    <row r="53" customFormat="false" ht="42" hidden="false" customHeight="true" outlineLevel="0" collapsed="false">
      <c r="A53" s="12" t="s">
        <v>590</v>
      </c>
      <c r="B53" s="12" t="s">
        <v>591</v>
      </c>
      <c r="C53" s="12" t="s">
        <v>55</v>
      </c>
      <c r="D53" s="17" t="n">
        <f aca="false">IFERROR(INDEX(04_Precios!$D$5:$D$59,MATCH($A53,04_Precios!$A$5:$A$59,0)),"")</f>
        <v>0</v>
      </c>
      <c r="E53" s="17" t="n">
        <f aca="false">IFERROR(INDEX(04_Precios!$H$5:$H$59,MATCH($A53,04_Precios!$A$5:$A$59,0)),"")</f>
        <v>0</v>
      </c>
      <c r="F53" s="17" t="str">
        <f aca="false">IF(OR(D53="",E53=""),"",D53-E53)</f>
        <v/>
      </c>
      <c r="G53" s="18" t="str">
        <f aca="false">IFERROR(F53/D53,"")</f>
        <v/>
      </c>
      <c r="H53" s="12" t="n">
        <f aca="false">IFERROR(INDEX(12_Estadísticas!$C$5:$C$59,MATCH($A53,12_Estadísticas!$A$5:$A$59,0)),"")</f>
        <v>0</v>
      </c>
      <c r="I53" s="18" t="str">
        <f aca="false">IFERROR(H53/SUMIF($C$5:$C$59,C53,$H$5:$H$59),"")</f>
        <v/>
      </c>
      <c r="J53" s="12" t="n">
        <f aca="false">IFERROR(AVERAGEIF($C$5:$C$59,C53,$H$5:$H$59),"")</f>
        <v>0</v>
      </c>
      <c r="K53" s="12" t="str">
        <f aca="false">IFERROR(AVERAGEIF($C$5:$C$59,C53,$F$5:$F$59),"")</f>
        <v/>
      </c>
      <c r="L53" s="12" t="str">
        <f aca="false">IF(OR(D53="",E53="",H53=""),"Sin datos",IF(AND(H53&gt;=J53,F53&gt;=K53),"Estrella",IF(AND(H53&gt;=J53,F53&lt;K53),"Caballo de batalla",IF(AND(H53&lt;J53,F53&gt;=K53),"Incógnita","Perro"))))</f>
        <v>Sin datos</v>
      </c>
      <c r="M53" s="12" t="str">
        <f aca="false">IF(L53="Estrella","Mantener visibilidad",IF(L53="Caballo de batalla","Optimizar margen",IF(L53="Puzzle","Aumentar visibilidad",IF(L53="Perro","Revisar continuidad","Esperar datos"))))</f>
        <v>Esperar datos</v>
      </c>
      <c r="N53" s="12" t="str">
        <f aca="false">IF(L53="Estrella","Más pedido",IF(L53="Puzzle","Recomendado",IF(L53="Caballo de batalla","Clásico",IF(L53="Perro","",""))))</f>
        <v/>
      </c>
      <c r="O53" s="20"/>
      <c r="P53" s="20"/>
      <c r="Q53" s="2"/>
      <c r="R53" s="2"/>
      <c r="S53" s="2"/>
      <c r="T53" s="2"/>
      <c r="U53" s="2"/>
      <c r="V53" s="2"/>
      <c r="W53" s="2"/>
      <c r="X53" s="2"/>
      <c r="Y53" s="2"/>
      <c r="Z53" s="2"/>
    </row>
    <row r="54" customFormat="false" ht="42" hidden="false" customHeight="true" outlineLevel="0" collapsed="false">
      <c r="A54" s="12" t="s">
        <v>601</v>
      </c>
      <c r="B54" s="12" t="s">
        <v>602</v>
      </c>
      <c r="C54" s="12" t="s">
        <v>55</v>
      </c>
      <c r="D54" s="17" t="n">
        <f aca="false">IFERROR(INDEX(04_Precios!$D$5:$D$59,MATCH($A54,04_Precios!$A$5:$A$59,0)),"")</f>
        <v>0</v>
      </c>
      <c r="E54" s="17" t="n">
        <f aca="false">IFERROR(INDEX(04_Precios!$H$5:$H$59,MATCH($A54,04_Precios!$A$5:$A$59,0)),"")</f>
        <v>0</v>
      </c>
      <c r="F54" s="17" t="str">
        <f aca="false">IF(OR(D54="",E54=""),"",D54-E54)</f>
        <v/>
      </c>
      <c r="G54" s="18" t="str">
        <f aca="false">IFERROR(F54/D54,"")</f>
        <v/>
      </c>
      <c r="H54" s="12" t="n">
        <f aca="false">IFERROR(INDEX(12_Estadísticas!$C$5:$C$59,MATCH($A54,12_Estadísticas!$A$5:$A$59,0)),"")</f>
        <v>0</v>
      </c>
      <c r="I54" s="18" t="str">
        <f aca="false">IFERROR(H54/SUMIF($C$5:$C$59,C54,$H$5:$H$59),"")</f>
        <v/>
      </c>
      <c r="J54" s="12" t="n">
        <f aca="false">IFERROR(AVERAGEIF($C$5:$C$59,C54,$H$5:$H$59),"")</f>
        <v>0</v>
      </c>
      <c r="K54" s="12" t="str">
        <f aca="false">IFERROR(AVERAGEIF($C$5:$C$59,C54,$F$5:$F$59),"")</f>
        <v/>
      </c>
      <c r="L54" s="12" t="str">
        <f aca="false">IF(OR(D54="",E54="",H54=""),"Sin datos",IF(AND(H54&gt;=J54,F54&gt;=K54),"Estrella",IF(AND(H54&gt;=J54,F54&lt;K54),"Caballo de batalla",IF(AND(H54&lt;J54,F54&gt;=K54),"Incógnita","Perro"))))</f>
        <v>Sin datos</v>
      </c>
      <c r="M54" s="12" t="str">
        <f aca="false">IF(L54="Estrella","Mantener visibilidad",IF(L54="Caballo de batalla","Optimizar margen",IF(L54="Puzzle","Aumentar visibilidad",IF(L54="Perro","Revisar continuidad","Esperar datos"))))</f>
        <v>Esperar datos</v>
      </c>
      <c r="N54" s="12" t="str">
        <f aca="false">IF(L54="Estrella","Más pedido",IF(L54="Puzzle","Recomendado",IF(L54="Caballo de batalla","Clásico",IF(L54="Perro","",""))))</f>
        <v/>
      </c>
      <c r="O54" s="20"/>
      <c r="P54" s="20"/>
      <c r="Q54" s="2"/>
      <c r="R54" s="2"/>
      <c r="S54" s="2"/>
      <c r="T54" s="2"/>
      <c r="U54" s="2"/>
      <c r="V54" s="2"/>
      <c r="W54" s="2"/>
      <c r="X54" s="2"/>
      <c r="Y54" s="2"/>
      <c r="Z54" s="2"/>
    </row>
    <row r="55" customFormat="false" ht="42" hidden="false" customHeight="true" outlineLevel="0" collapsed="false">
      <c r="A55" s="12" t="s">
        <v>612</v>
      </c>
      <c r="B55" s="12" t="s">
        <v>613</v>
      </c>
      <c r="C55" s="12" t="s">
        <v>56</v>
      </c>
      <c r="D55" s="17" t="n">
        <f aca="false">IFERROR(INDEX(04_Precios!$D$5:$D$59,MATCH($A55,04_Precios!$A$5:$A$59,0)),"")</f>
        <v>0</v>
      </c>
      <c r="E55" s="17" t="n">
        <f aca="false">IFERROR(INDEX(04_Precios!$H$5:$H$59,MATCH($A55,04_Precios!$A$5:$A$59,0)),"")</f>
        <v>0</v>
      </c>
      <c r="F55" s="17" t="str">
        <f aca="false">IF(OR(D55="",E55=""),"",D55-E55)</f>
        <v/>
      </c>
      <c r="G55" s="18" t="str">
        <f aca="false">IFERROR(F55/D55,"")</f>
        <v/>
      </c>
      <c r="H55" s="12" t="n">
        <f aca="false">IFERROR(INDEX(12_Estadísticas!$C$5:$C$59,MATCH($A55,12_Estadísticas!$A$5:$A$59,0)),"")</f>
        <v>0</v>
      </c>
      <c r="I55" s="18" t="str">
        <f aca="false">IFERROR(H55/SUMIF($C$5:$C$59,C55,$H$5:$H$59),"")</f>
        <v/>
      </c>
      <c r="J55" s="12" t="n">
        <f aca="false">IFERROR(AVERAGEIF($C$5:$C$59,C55,$H$5:$H$59),"")</f>
        <v>0</v>
      </c>
      <c r="K55" s="12" t="str">
        <f aca="false">IFERROR(AVERAGEIF($C$5:$C$59,C55,$F$5:$F$59),"")</f>
        <v/>
      </c>
      <c r="L55" s="12" t="str">
        <f aca="false">IF(OR(D55="",E55="",H55=""),"Sin datos",IF(AND(H55&gt;=J55,F55&gt;=K55),"Estrella",IF(AND(H55&gt;=J55,F55&lt;K55),"Caballo de batalla",IF(AND(H55&lt;J55,F55&gt;=K55),"Incógnita","Perro"))))</f>
        <v>Sin datos</v>
      </c>
      <c r="M55" s="12" t="str">
        <f aca="false">IF(L55="Estrella","Mantener visibilidad",IF(L55="Caballo de batalla","Optimizar margen",IF(L55="Puzzle","Aumentar visibilidad",IF(L55="Perro","Revisar continuidad","Esperar datos"))))</f>
        <v>Esperar datos</v>
      </c>
      <c r="N55" s="12" t="str">
        <f aca="false">IF(L55="Estrella","Más pedido",IF(L55="Puzzle","Recomendado",IF(L55="Caballo de batalla","Clásico",IF(L55="Perro","",""))))</f>
        <v/>
      </c>
      <c r="O55" s="20"/>
      <c r="P55" s="20"/>
      <c r="Q55" s="2"/>
      <c r="R55" s="2"/>
      <c r="S55" s="2"/>
      <c r="T55" s="2"/>
      <c r="U55" s="2"/>
      <c r="V55" s="2"/>
      <c r="W55" s="2"/>
      <c r="X55" s="2"/>
      <c r="Y55" s="2"/>
      <c r="Z55" s="2"/>
    </row>
    <row r="56" customFormat="false" ht="42" hidden="false" customHeight="true" outlineLevel="0" collapsed="false">
      <c r="A56" s="12" t="s">
        <v>623</v>
      </c>
      <c r="B56" s="12" t="s">
        <v>624</v>
      </c>
      <c r="C56" s="12" t="s">
        <v>56</v>
      </c>
      <c r="D56" s="17" t="n">
        <f aca="false">IFERROR(INDEX(04_Precios!$D$5:$D$59,MATCH($A56,04_Precios!$A$5:$A$59,0)),"")</f>
        <v>0</v>
      </c>
      <c r="E56" s="17" t="n">
        <f aca="false">IFERROR(INDEX(04_Precios!$H$5:$H$59,MATCH($A56,04_Precios!$A$5:$A$59,0)),"")</f>
        <v>0</v>
      </c>
      <c r="F56" s="17" t="str">
        <f aca="false">IF(OR(D56="",E56=""),"",D56-E56)</f>
        <v/>
      </c>
      <c r="G56" s="18" t="str">
        <f aca="false">IFERROR(F56/D56,"")</f>
        <v/>
      </c>
      <c r="H56" s="12" t="n">
        <f aca="false">IFERROR(INDEX(12_Estadísticas!$C$5:$C$59,MATCH($A56,12_Estadísticas!$A$5:$A$59,0)),"")</f>
        <v>0</v>
      </c>
      <c r="I56" s="18" t="str">
        <f aca="false">IFERROR(H56/SUMIF($C$5:$C$59,C56,$H$5:$H$59),"")</f>
        <v/>
      </c>
      <c r="J56" s="12" t="n">
        <f aca="false">IFERROR(AVERAGEIF($C$5:$C$59,C56,$H$5:$H$59),"")</f>
        <v>0</v>
      </c>
      <c r="K56" s="12" t="str">
        <f aca="false">IFERROR(AVERAGEIF($C$5:$C$59,C56,$F$5:$F$59),"")</f>
        <v/>
      </c>
      <c r="L56" s="12" t="str">
        <f aca="false">IF(OR(D56="",E56="",H56=""),"Sin datos",IF(AND(H56&gt;=J56,F56&gt;=K56),"Estrella",IF(AND(H56&gt;=J56,F56&lt;K56),"Caballo de batalla",IF(AND(H56&lt;J56,F56&gt;=K56),"Incógnita","Perro"))))</f>
        <v>Sin datos</v>
      </c>
      <c r="M56" s="12" t="str">
        <f aca="false">IF(L56="Estrella","Mantener visibilidad",IF(L56="Caballo de batalla","Optimizar margen",IF(L56="Puzzle","Aumentar visibilidad",IF(L56="Perro","Revisar continuidad","Esperar datos"))))</f>
        <v>Esperar datos</v>
      </c>
      <c r="N56" s="12" t="str">
        <f aca="false">IF(L56="Estrella","Más pedido",IF(L56="Puzzle","Recomendado",IF(L56="Caballo de batalla","Clásico",IF(L56="Perro","",""))))</f>
        <v/>
      </c>
      <c r="O56" s="20"/>
      <c r="P56" s="20"/>
      <c r="Q56" s="2"/>
      <c r="R56" s="2"/>
      <c r="S56" s="2"/>
      <c r="T56" s="2"/>
      <c r="U56" s="2"/>
      <c r="V56" s="2"/>
      <c r="W56" s="2"/>
      <c r="X56" s="2"/>
      <c r="Y56" s="2"/>
      <c r="Z56" s="2"/>
    </row>
    <row r="57" customFormat="false" ht="42" hidden="false" customHeight="true" outlineLevel="0" collapsed="false">
      <c r="A57" s="12" t="s">
        <v>634</v>
      </c>
      <c r="B57" s="12" t="s">
        <v>635</v>
      </c>
      <c r="C57" s="12" t="s">
        <v>56</v>
      </c>
      <c r="D57" s="17" t="n">
        <f aca="false">IFERROR(INDEX(04_Precios!$D$5:$D$59,MATCH($A57,04_Precios!$A$5:$A$59,0)),"")</f>
        <v>0</v>
      </c>
      <c r="E57" s="17" t="n">
        <f aca="false">IFERROR(INDEX(04_Precios!$H$5:$H$59,MATCH($A57,04_Precios!$A$5:$A$59,0)),"")</f>
        <v>0</v>
      </c>
      <c r="F57" s="17" t="str">
        <f aca="false">IF(OR(D57="",E57=""),"",D57-E57)</f>
        <v/>
      </c>
      <c r="G57" s="18" t="str">
        <f aca="false">IFERROR(F57/D57,"")</f>
        <v/>
      </c>
      <c r="H57" s="12" t="n">
        <f aca="false">IFERROR(INDEX(12_Estadísticas!$C$5:$C$59,MATCH($A57,12_Estadísticas!$A$5:$A$59,0)),"")</f>
        <v>0</v>
      </c>
      <c r="I57" s="18" t="str">
        <f aca="false">IFERROR(H57/SUMIF($C$5:$C$59,C57,$H$5:$H$59),"")</f>
        <v/>
      </c>
      <c r="J57" s="12" t="n">
        <f aca="false">IFERROR(AVERAGEIF($C$5:$C$59,C57,$H$5:$H$59),"")</f>
        <v>0</v>
      </c>
      <c r="K57" s="12" t="str">
        <f aca="false">IFERROR(AVERAGEIF($C$5:$C$59,C57,$F$5:$F$59),"")</f>
        <v/>
      </c>
      <c r="L57" s="12" t="str">
        <f aca="false">IF(OR(D57="",E57="",H57=""),"Sin datos",IF(AND(H57&gt;=J57,F57&gt;=K57),"Estrella",IF(AND(H57&gt;=J57,F57&lt;K57),"Caballo de batalla",IF(AND(H57&lt;J57,F57&gt;=K57),"Incógnita","Perro"))))</f>
        <v>Sin datos</v>
      </c>
      <c r="M57" s="12" t="str">
        <f aca="false">IF(L57="Estrella","Mantener visibilidad",IF(L57="Caballo de batalla","Optimizar margen",IF(L57="Puzzle","Aumentar visibilidad",IF(L57="Perro","Revisar continuidad","Esperar datos"))))</f>
        <v>Esperar datos</v>
      </c>
      <c r="N57" s="12" t="str">
        <f aca="false">IF(L57="Estrella","Más pedido",IF(L57="Puzzle","Recomendado",IF(L57="Caballo de batalla","Clásico",IF(L57="Perro","",""))))</f>
        <v/>
      </c>
      <c r="O57" s="20"/>
      <c r="P57" s="20"/>
      <c r="Q57" s="2"/>
      <c r="R57" s="2"/>
      <c r="S57" s="2"/>
      <c r="T57" s="2"/>
      <c r="U57" s="2"/>
      <c r="V57" s="2"/>
      <c r="W57" s="2"/>
      <c r="X57" s="2"/>
      <c r="Y57" s="2"/>
      <c r="Z57" s="2"/>
    </row>
    <row r="58" customFormat="false" ht="42" hidden="false" customHeight="true" outlineLevel="0" collapsed="false">
      <c r="A58" s="12" t="s">
        <v>645</v>
      </c>
      <c r="B58" s="12" t="s">
        <v>646</v>
      </c>
      <c r="C58" s="12" t="s">
        <v>56</v>
      </c>
      <c r="D58" s="17" t="n">
        <f aca="false">IFERROR(INDEX(04_Precios!$D$5:$D$59,MATCH($A58,04_Precios!$A$5:$A$59,0)),"")</f>
        <v>0</v>
      </c>
      <c r="E58" s="17" t="n">
        <f aca="false">IFERROR(INDEX(04_Precios!$H$5:$H$59,MATCH($A58,04_Precios!$A$5:$A$59,0)),"")</f>
        <v>0</v>
      </c>
      <c r="F58" s="17" t="str">
        <f aca="false">IF(OR(D58="",E58=""),"",D58-E58)</f>
        <v/>
      </c>
      <c r="G58" s="18" t="str">
        <f aca="false">IFERROR(F58/D58,"")</f>
        <v/>
      </c>
      <c r="H58" s="12" t="n">
        <f aca="false">IFERROR(INDEX(12_Estadísticas!$C$5:$C$59,MATCH($A58,12_Estadísticas!$A$5:$A$59,0)),"")</f>
        <v>0</v>
      </c>
      <c r="I58" s="18" t="str">
        <f aca="false">IFERROR(H58/SUMIF($C$5:$C$59,C58,$H$5:$H$59),"")</f>
        <v/>
      </c>
      <c r="J58" s="12" t="n">
        <f aca="false">IFERROR(AVERAGEIF($C$5:$C$59,C58,$H$5:$H$59),"")</f>
        <v>0</v>
      </c>
      <c r="K58" s="12" t="str">
        <f aca="false">IFERROR(AVERAGEIF($C$5:$C$59,C58,$F$5:$F$59),"")</f>
        <v/>
      </c>
      <c r="L58" s="12" t="str">
        <f aca="false">IF(OR(D58="",E58="",H58=""),"Sin datos",IF(AND(H58&gt;=J58,F58&gt;=K58),"Estrella",IF(AND(H58&gt;=J58,F58&lt;K58),"Caballo de batalla",IF(AND(H58&lt;J58,F58&gt;=K58),"Incógnita","Perro"))))</f>
        <v>Sin datos</v>
      </c>
      <c r="M58" s="12" t="str">
        <f aca="false">IF(L58="Estrella","Mantener visibilidad",IF(L58="Caballo de batalla","Optimizar margen",IF(L58="Puzzle","Aumentar visibilidad",IF(L58="Perro","Revisar continuidad","Esperar datos"))))</f>
        <v>Esperar datos</v>
      </c>
      <c r="N58" s="12" t="str">
        <f aca="false">IF(L58="Estrella","Más pedido",IF(L58="Puzzle","Recomendado",IF(L58="Caballo de batalla","Clásico",IF(L58="Perro","",""))))</f>
        <v/>
      </c>
      <c r="O58" s="20"/>
      <c r="P58" s="20"/>
      <c r="Q58" s="2"/>
      <c r="R58" s="2"/>
      <c r="S58" s="2"/>
      <c r="T58" s="2"/>
      <c r="U58" s="2"/>
      <c r="V58" s="2"/>
      <c r="W58" s="2"/>
      <c r="X58" s="2"/>
      <c r="Y58" s="2"/>
      <c r="Z58" s="2"/>
    </row>
    <row r="59" customFormat="false" ht="42" hidden="false" customHeight="true" outlineLevel="0" collapsed="false">
      <c r="A59" s="12" t="s">
        <v>656</v>
      </c>
      <c r="B59" s="12" t="s">
        <v>657</v>
      </c>
      <c r="C59" s="12" t="s">
        <v>56</v>
      </c>
      <c r="D59" s="17" t="n">
        <f aca="false">IFERROR(INDEX(04_Precios!$D$5:$D$59,MATCH($A59,04_Precios!$A$5:$A$59,0)),"")</f>
        <v>0</v>
      </c>
      <c r="E59" s="17" t="n">
        <f aca="false">IFERROR(INDEX(04_Precios!$H$5:$H$59,MATCH($A59,04_Precios!$A$5:$A$59,0)),"")</f>
        <v>0</v>
      </c>
      <c r="F59" s="17" t="str">
        <f aca="false">IF(OR(D59="",E59=""),"",D59-E59)</f>
        <v/>
      </c>
      <c r="G59" s="18" t="str">
        <f aca="false">IFERROR(F59/D59,"")</f>
        <v/>
      </c>
      <c r="H59" s="12" t="n">
        <f aca="false">IFERROR(INDEX(12_Estadísticas!$C$5:$C$59,MATCH($A59,12_Estadísticas!$A$5:$A$59,0)),"")</f>
        <v>0</v>
      </c>
      <c r="I59" s="18" t="str">
        <f aca="false">IFERROR(H59/SUMIF($C$5:$C$59,C59,$H$5:$H$59),"")</f>
        <v/>
      </c>
      <c r="J59" s="12" t="n">
        <f aca="false">IFERROR(AVERAGEIF($C$5:$C$59,C59,$H$5:$H$59),"")</f>
        <v>0</v>
      </c>
      <c r="K59" s="12" t="str">
        <f aca="false">IFERROR(AVERAGEIF($C$5:$C$59,C59,$F$5:$F$59),"")</f>
        <v/>
      </c>
      <c r="L59" s="12" t="str">
        <f aca="false">IF(OR(D59="",E59="",H59=""),"Sin datos",IF(AND(H59&gt;=J59,F59&gt;=K59),"Estrella",IF(AND(H59&gt;=J59,F59&lt;K59),"Caballo de batalla",IF(AND(H59&lt;J59,F59&gt;=K59),"Incógnita","Perro"))))</f>
        <v>Sin datos</v>
      </c>
      <c r="M59" s="12" t="str">
        <f aca="false">IF(L59="Estrella","Mantener visibilidad",IF(L59="Caballo de batalla","Optimizar margen",IF(L59="Puzzle","Aumentar visibilidad",IF(L59="Perro","Revisar continuidad","Esperar datos"))))</f>
        <v>Esperar datos</v>
      </c>
      <c r="N59" s="12" t="str">
        <f aca="false">IF(L59="Estrella","Más pedido",IF(L59="Puzzle","Recomendado",IF(L59="Caballo de batalla","Clásico",IF(L59="Perro","",""))))</f>
        <v/>
      </c>
      <c r="O59" s="20"/>
      <c r="P59" s="20"/>
      <c r="Q59" s="2"/>
      <c r="R59" s="2"/>
      <c r="S59" s="2"/>
      <c r="T59" s="2"/>
      <c r="U59" s="2"/>
      <c r="V59" s="2"/>
      <c r="W59" s="2"/>
      <c r="X59" s="2"/>
      <c r="Y59" s="2"/>
      <c r="Z59" s="2"/>
    </row>
    <row r="60" customFormat="false" ht="14.25" hidden="false" customHeight="fals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4.25" hidden="false" customHeight="fals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4.25" hidden="false" customHeight="fals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4.25" hidden="false" customHeight="fals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4.25" hidden="false" customHeight="fals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4.25" hidden="false" customHeight="fals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4.25" hidden="false" customHeight="fals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4.25" hidden="false" customHeight="fals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4.25" hidden="false" customHeight="fals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4.25" hidden="false" customHeight="fals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4.25" hidden="false" customHeight="fals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4.25" hidden="false" customHeight="fals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4.25" hidden="false" customHeight="fals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4.25" hidden="false" customHeight="fals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4.25" hidden="false" customHeight="fals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4.25" hidden="false" customHeight="fals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4.25" hidden="false" customHeight="fals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4.25" hidden="false" customHeight="fals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4.25" hidden="false" customHeight="fals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4.25" hidden="false" customHeight="fals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4.25" hidden="false" customHeight="fals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4.25" hidden="false" customHeight="fals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4.25" hidden="false" customHeight="fals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4.25" hidden="false" customHeight="fals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4.25" hidden="false" customHeight="fals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4.25" hidden="false" customHeight="fals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4.25" hidden="false" customHeight="fals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4.25" hidden="false" customHeight="fals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4.25" hidden="false" customHeight="fals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4.25" hidden="false" customHeight="fals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4.25" hidden="false" customHeight="fals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4.25" hidden="false" customHeight="fals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4.25" hidden="false" customHeight="fals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4.25" hidden="false" customHeight="fals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4.25" hidden="false" customHeight="fals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4.25" hidden="false" customHeight="fals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4.25" hidden="false" customHeight="fals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4.25" hidden="false" customHeight="fals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4.25" hidden="false" customHeight="fals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4.25" hidden="false" customHeight="fals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4.25" hidden="false" customHeight="fals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4.25" hidden="false" customHeight="fals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4.25" hidden="false" customHeight="fals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4.25" hidden="false" customHeight="fals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4.25" hidden="false" customHeight="fals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4.25" hidden="false" customHeight="fals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4.25" hidden="false" customHeight="fals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4.25" hidden="false" customHeight="fals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4.25" hidden="false" customHeight="fals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4.25" hidden="false" customHeight="fals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4.25" hidden="false" customHeight="fals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4.25" hidden="false" customHeight="fals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4.25" hidden="false" customHeight="fals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4.25" hidden="false" customHeight="fals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4.25" hidden="false" customHeight="fals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4.25" hidden="false" customHeight="fals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4.25" hidden="false" customHeight="fals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4.25" hidden="false" customHeight="fals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4.25" hidden="false" customHeight="fals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4.25" hidden="false" customHeight="fals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4.25" hidden="false" customHeight="fals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4.25" hidden="false" customHeight="fals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4.25" hidden="false" customHeight="fals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4.25" hidden="false" customHeight="fals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4.25" hidden="false" customHeight="fals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4.25" hidden="false" customHeight="fals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4.25" hidden="false" customHeight="fals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4.25" hidden="false" customHeight="fals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4.25" hidden="false" customHeight="fals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4.25" hidden="false" customHeight="fals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4.25" hidden="false" customHeight="fals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4.25" hidden="false" customHeight="fals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4.25" hidden="false" customHeight="fals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4.25" hidden="false" customHeight="fals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4.25" hidden="false" customHeight="fals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4.25" hidden="false" customHeight="fals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4.25" hidden="false" customHeight="fals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4.25" hidden="false" customHeight="fals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4.25" hidden="false" customHeight="fals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4.25" hidden="false" customHeight="fals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4.25" hidden="false" customHeight="fals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4.25" hidden="false" customHeight="fals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4.25" hidden="false" customHeight="fals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4.25" hidden="false" customHeight="fals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4.25" hidden="false" customHeight="fals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4.25" hidden="false" customHeight="fals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4.25" hidden="false" customHeight="fals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4.25" hidden="false" customHeight="fals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4.25" hidden="false" customHeight="fals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4.25" hidden="false" customHeight="fals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4.25" hidden="false" customHeight="fals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4.25" hidden="false" customHeight="fals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4.25" hidden="false" customHeight="fals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4.25" hidden="false" customHeight="fals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4.25" hidden="false" customHeight="fals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4.25" hidden="false" customHeight="fals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4.25" hidden="false" customHeight="fals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4.25" hidden="false" customHeight="fals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4.25" hidden="false" customHeight="fals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4.25" hidden="false" customHeight="fals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4.25" hidden="false" customHeight="fals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4.25" hidden="false" customHeight="fals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4.25" hidden="false" customHeight="fals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4.25" hidden="false" customHeight="fals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4.25" hidden="false" customHeight="fals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4.25" hidden="false" customHeight="fals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4.25" hidden="false" customHeight="fals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4.25" hidden="false" customHeight="fals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4.25" hidden="false" customHeight="fals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4.25" hidden="false" customHeight="fals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4.25" hidden="false" customHeight="fals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4.25" hidden="false" customHeight="fals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4.25" hidden="false" customHeight="fals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4.25" hidden="false" customHeight="fals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4.25" hidden="false" customHeight="fals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4.25" hidden="false" customHeight="fals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4.25" hidden="false" customHeight="fals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4.25" hidden="false" customHeight="fals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4.25" hidden="false" customHeight="fals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4.25" hidden="false" customHeight="fals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4.25" hidden="false" customHeight="fals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4.25" hidden="false" customHeight="fals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4.25" hidden="false" customHeight="fals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4.25" hidden="false" customHeight="fals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4.25" hidden="false" customHeight="fals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4.25" hidden="false" customHeight="fals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4.25" hidden="false" customHeight="fals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4.25" hidden="false" customHeight="fals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4.25" hidden="false" customHeight="fals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4.25" hidden="false" customHeight="fals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4.25" hidden="false" customHeight="fals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4.25" hidden="false" customHeight="fals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4.25" hidden="false" customHeight="fals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4.25" hidden="false" customHeight="fals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4.25" hidden="false" customHeight="fals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4.25" hidden="false" customHeight="fals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4.25" hidden="false" customHeight="fals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4.25" hidden="false" customHeight="fals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4.25" hidden="false" customHeight="fals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4.25" hidden="false" customHeight="fals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4.25" hidden="false" customHeight="fals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sheetData>
  <autoFilter ref="A4:P59"/>
  <mergeCells count="2">
    <mergeCell ref="A1:P1"/>
    <mergeCell ref="A2:P2"/>
  </mergeCells>
  <conditionalFormatting sqref="L5:L59">
    <cfRule type="expression" priority="2" aboveAverage="0" equalAverage="0" bottom="0" percent="0" rank="0" text="" dxfId="5">
      <formula>L5="Estrella"</formula>
    </cfRule>
    <cfRule type="expression" priority="3" aboveAverage="0" equalAverage="0" bottom="0" percent="0" rank="0" text="" dxfId="19">
      <formula>L5="Caballo de batalla"</formula>
    </cfRule>
    <cfRule type="expression" priority="4" aboveAverage="0" equalAverage="0" bottom="0" percent="0" rank="0" text="" dxfId="17">
      <formula>L5="Puzzle"</formula>
    </cfRule>
    <cfRule type="expression" priority="5" aboveAverage="0" equalAverage="0" bottom="0" percent="0" rank="0" text="" dxfId="15">
      <formula>L5="Perro"</formula>
    </cfRule>
    <cfRule type="cellIs" priority="6" operator="equal" aboveAverage="0" equalAverage="0" bottom="0" percent="0" rank="0" text="" dxfId="20">
      <formula>"Estrella"</formula>
    </cfRule>
    <cfRule type="cellIs" priority="7" operator="equal" aboveAverage="0" equalAverage="0" bottom="0" percent="0" rank="0" text="" dxfId="7">
      <formula>"Perro"</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A48B"/>
    <pageSetUpPr fitToPage="false"/>
  </sheetPr>
  <dimension ref="A1:Z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9.00390625" defaultRowHeight="14.2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5" min="3" style="0" width="34"/>
    <col collapsed="false" customWidth="true" hidden="false" outlineLevel="0" max="10" min="6" style="0" width="42"/>
    <col collapsed="false" customWidth="true" hidden="false" outlineLevel="0" max="15" min="11" style="0" width="28"/>
    <col collapsed="false" customWidth="true" hidden="false" outlineLevel="0" max="20" min="16" style="0" width="42"/>
    <col collapsed="false" customWidth="true" hidden="false" outlineLevel="0" max="25" min="21" style="0" width="58"/>
  </cols>
  <sheetData>
    <row r="1" customFormat="false" ht="30" hidden="false" customHeight="true" outlineLevel="0" collapsed="false">
      <c r="A1" s="1" t="s">
        <v>1055</v>
      </c>
      <c r="B1" s="1"/>
      <c r="C1" s="1"/>
      <c r="D1" s="1"/>
      <c r="E1" s="1"/>
      <c r="F1" s="1"/>
      <c r="G1" s="1"/>
      <c r="H1" s="1"/>
      <c r="I1" s="1"/>
      <c r="J1" s="1"/>
      <c r="K1" s="1"/>
      <c r="L1" s="1"/>
      <c r="M1" s="1"/>
      <c r="N1" s="1"/>
      <c r="O1" s="1"/>
      <c r="P1" s="1"/>
      <c r="Q1" s="1"/>
      <c r="R1" s="1"/>
      <c r="S1" s="1"/>
      <c r="T1" s="1"/>
      <c r="U1" s="1"/>
      <c r="V1" s="1"/>
      <c r="W1" s="1"/>
      <c r="X1" s="1"/>
      <c r="Y1" s="1"/>
      <c r="Z1" s="2"/>
    </row>
    <row r="2" customFormat="false" ht="30" hidden="false" customHeight="true" outlineLevel="0" collapsed="false">
      <c r="A2" s="3" t="s">
        <v>1056</v>
      </c>
      <c r="B2" s="3"/>
      <c r="C2" s="3"/>
      <c r="D2" s="3"/>
      <c r="E2" s="3"/>
      <c r="F2" s="3"/>
      <c r="G2" s="3"/>
      <c r="H2" s="3"/>
      <c r="I2" s="3"/>
      <c r="J2" s="3"/>
      <c r="K2" s="3"/>
      <c r="L2" s="3"/>
      <c r="M2" s="3"/>
      <c r="N2" s="3"/>
      <c r="O2" s="3"/>
      <c r="P2" s="3"/>
      <c r="Q2" s="3"/>
      <c r="R2" s="3"/>
      <c r="S2" s="3"/>
      <c r="T2" s="3"/>
      <c r="U2" s="3"/>
      <c r="V2" s="3"/>
      <c r="W2" s="3"/>
      <c r="X2" s="3"/>
      <c r="Y2" s="3"/>
      <c r="Z2" s="2"/>
    </row>
    <row r="3" customFormat="false" ht="14.25" hidden="false" customHeight="false" outlineLevel="0" collapsed="false">
      <c r="A3" s="2"/>
      <c r="B3" s="2"/>
      <c r="C3" s="2"/>
      <c r="D3" s="2"/>
      <c r="E3" s="2"/>
      <c r="F3" s="2"/>
      <c r="G3" s="2"/>
      <c r="H3" s="2"/>
      <c r="I3" s="2"/>
      <c r="J3" s="2"/>
      <c r="K3" s="2"/>
      <c r="L3" s="2"/>
      <c r="M3" s="2"/>
      <c r="N3" s="2"/>
      <c r="O3" s="2"/>
      <c r="P3" s="2"/>
      <c r="Q3" s="2"/>
      <c r="R3" s="2"/>
      <c r="S3" s="2"/>
      <c r="T3" s="2"/>
      <c r="U3" s="2"/>
      <c r="V3" s="2"/>
      <c r="W3" s="2"/>
      <c r="X3" s="2"/>
      <c r="Y3" s="2"/>
      <c r="Z3" s="2"/>
    </row>
    <row r="4" customFormat="false" ht="36" hidden="false" customHeight="true" outlineLevel="0" collapsed="false">
      <c r="A4" s="11" t="s">
        <v>79</v>
      </c>
      <c r="B4" s="11" t="s">
        <v>821</v>
      </c>
      <c r="C4" s="11" t="s">
        <v>1057</v>
      </c>
      <c r="D4" s="11" t="s">
        <v>1058</v>
      </c>
      <c r="E4" s="11" t="s">
        <v>1059</v>
      </c>
      <c r="F4" s="11" t="s">
        <v>1060</v>
      </c>
      <c r="G4" s="11" t="s">
        <v>1061</v>
      </c>
      <c r="H4" s="11" t="s">
        <v>1062</v>
      </c>
      <c r="I4" s="11" t="s">
        <v>1063</v>
      </c>
      <c r="J4" s="11" t="s">
        <v>1064</v>
      </c>
      <c r="K4" s="11" t="s">
        <v>1065</v>
      </c>
      <c r="L4" s="11" t="s">
        <v>1066</v>
      </c>
      <c r="M4" s="11" t="s">
        <v>1067</v>
      </c>
      <c r="N4" s="11" t="s">
        <v>1068</v>
      </c>
      <c r="O4" s="11" t="s">
        <v>1069</v>
      </c>
      <c r="P4" s="11" t="s">
        <v>1070</v>
      </c>
      <c r="Q4" s="11" t="s">
        <v>1071</v>
      </c>
      <c r="R4" s="11" t="s">
        <v>1072</v>
      </c>
      <c r="S4" s="11" t="s">
        <v>1073</v>
      </c>
      <c r="T4" s="11" t="s">
        <v>1074</v>
      </c>
      <c r="U4" s="11" t="s">
        <v>1075</v>
      </c>
      <c r="V4" s="11" t="s">
        <v>1076</v>
      </c>
      <c r="W4" s="11" t="s">
        <v>1077</v>
      </c>
      <c r="X4" s="11" t="s">
        <v>1078</v>
      </c>
      <c r="Y4" s="11" t="s">
        <v>1079</v>
      </c>
      <c r="Z4" s="2"/>
    </row>
    <row r="5" customFormat="false" ht="42" hidden="false" customHeight="true" outlineLevel="0" collapsed="false">
      <c r="A5" s="12" t="s">
        <v>91</v>
      </c>
      <c r="B5" s="12" t="s">
        <v>92</v>
      </c>
      <c r="C5" s="20"/>
      <c r="D5" s="20"/>
      <c r="E5" s="20"/>
      <c r="F5" s="12" t="s">
        <v>1080</v>
      </c>
      <c r="G5" s="12" t="s">
        <v>1081</v>
      </c>
      <c r="H5" s="12" t="s">
        <v>1082</v>
      </c>
      <c r="I5" s="12" t="s">
        <v>1083</v>
      </c>
      <c r="J5" s="12" t="s">
        <v>1084</v>
      </c>
      <c r="K5" s="12" t="s">
        <v>1085</v>
      </c>
      <c r="L5" s="12" t="s">
        <v>1086</v>
      </c>
      <c r="M5" s="12" t="s">
        <v>1087</v>
      </c>
      <c r="N5" s="12" t="s">
        <v>1088</v>
      </c>
      <c r="O5" s="12" t="s">
        <v>1089</v>
      </c>
      <c r="P5" s="12" t="s">
        <v>1090</v>
      </c>
      <c r="Q5" s="12" t="s">
        <v>1091</v>
      </c>
      <c r="R5" s="12" t="s">
        <v>1092</v>
      </c>
      <c r="S5" s="12" t="s">
        <v>1093</v>
      </c>
      <c r="T5" s="12" t="s">
        <v>1094</v>
      </c>
      <c r="U5" s="12" t="s">
        <v>1095</v>
      </c>
      <c r="V5" s="12" t="s">
        <v>1096</v>
      </c>
      <c r="W5" s="12" t="s">
        <v>1097</v>
      </c>
      <c r="X5" s="12" t="s">
        <v>1098</v>
      </c>
      <c r="Y5" s="12" t="s">
        <v>1099</v>
      </c>
      <c r="Z5" s="2"/>
    </row>
    <row r="6" customFormat="false" ht="42" hidden="false" customHeight="true" outlineLevel="0" collapsed="false">
      <c r="A6" s="12" t="s">
        <v>102</v>
      </c>
      <c r="B6" s="12" t="s">
        <v>103</v>
      </c>
      <c r="C6" s="20"/>
      <c r="D6" s="20"/>
      <c r="E6" s="20"/>
      <c r="F6" s="12" t="s">
        <v>1100</v>
      </c>
      <c r="G6" s="12" t="s">
        <v>1101</v>
      </c>
      <c r="H6" s="12" t="s">
        <v>1102</v>
      </c>
      <c r="I6" s="12" t="s">
        <v>1103</v>
      </c>
      <c r="J6" s="12" t="s">
        <v>1104</v>
      </c>
      <c r="K6" s="12" t="s">
        <v>1105</v>
      </c>
      <c r="L6" s="12" t="s">
        <v>1106</v>
      </c>
      <c r="M6" s="12" t="s">
        <v>1107</v>
      </c>
      <c r="N6" s="12" t="s">
        <v>1108</v>
      </c>
      <c r="O6" s="12" t="s">
        <v>1109</v>
      </c>
      <c r="P6" s="12" t="s">
        <v>1110</v>
      </c>
      <c r="Q6" s="12" t="s">
        <v>1111</v>
      </c>
      <c r="R6" s="12" t="s">
        <v>1112</v>
      </c>
      <c r="S6" s="12" t="s">
        <v>1113</v>
      </c>
      <c r="T6" s="12" t="s">
        <v>1114</v>
      </c>
      <c r="U6" s="12" t="s">
        <v>1115</v>
      </c>
      <c r="V6" s="12" t="s">
        <v>1116</v>
      </c>
      <c r="W6" s="12" t="s">
        <v>1117</v>
      </c>
      <c r="X6" s="12" t="s">
        <v>1118</v>
      </c>
      <c r="Y6" s="12" t="s">
        <v>1119</v>
      </c>
      <c r="Z6" s="2"/>
    </row>
    <row r="7" customFormat="false" ht="42" hidden="false" customHeight="true" outlineLevel="0" collapsed="false">
      <c r="A7" s="12" t="s">
        <v>113</v>
      </c>
      <c r="B7" s="12" t="s">
        <v>114</v>
      </c>
      <c r="C7" s="20"/>
      <c r="D7" s="20"/>
      <c r="E7" s="20"/>
      <c r="F7" s="12" t="s">
        <v>1120</v>
      </c>
      <c r="G7" s="12" t="s">
        <v>1121</v>
      </c>
      <c r="H7" s="12" t="s">
        <v>1122</v>
      </c>
      <c r="I7" s="12" t="s">
        <v>1123</v>
      </c>
      <c r="J7" s="12" t="s">
        <v>1124</v>
      </c>
      <c r="K7" s="12" t="s">
        <v>1125</v>
      </c>
      <c r="L7" s="12" t="s">
        <v>1126</v>
      </c>
      <c r="M7" s="12" t="s">
        <v>1127</v>
      </c>
      <c r="N7" s="12" t="s">
        <v>1128</v>
      </c>
      <c r="O7" s="12" t="s">
        <v>1129</v>
      </c>
      <c r="P7" s="12" t="s">
        <v>1130</v>
      </c>
      <c r="Q7" s="12" t="s">
        <v>1131</v>
      </c>
      <c r="R7" s="12" t="s">
        <v>1132</v>
      </c>
      <c r="S7" s="12" t="s">
        <v>1133</v>
      </c>
      <c r="T7" s="12" t="s">
        <v>1134</v>
      </c>
      <c r="U7" s="12" t="s">
        <v>1135</v>
      </c>
      <c r="V7" s="12" t="s">
        <v>1136</v>
      </c>
      <c r="W7" s="12" t="s">
        <v>1137</v>
      </c>
      <c r="X7" s="12" t="s">
        <v>1138</v>
      </c>
      <c r="Y7" s="12" t="s">
        <v>1139</v>
      </c>
      <c r="Z7" s="2"/>
    </row>
    <row r="8" customFormat="false" ht="42" hidden="false" customHeight="true" outlineLevel="0" collapsed="false">
      <c r="A8" s="12" t="s">
        <v>124</v>
      </c>
      <c r="B8" s="12" t="s">
        <v>125</v>
      </c>
      <c r="C8" s="20"/>
      <c r="D8" s="20"/>
      <c r="E8" s="20"/>
      <c r="F8" s="12" t="s">
        <v>1140</v>
      </c>
      <c r="G8" s="12" t="s">
        <v>1141</v>
      </c>
      <c r="H8" s="12" t="s">
        <v>1142</v>
      </c>
      <c r="I8" s="12" t="s">
        <v>1143</v>
      </c>
      <c r="J8" s="12" t="s">
        <v>1144</v>
      </c>
      <c r="K8" s="12" t="s">
        <v>1145</v>
      </c>
      <c r="L8" s="12" t="s">
        <v>1146</v>
      </c>
      <c r="M8" s="12" t="s">
        <v>1147</v>
      </c>
      <c r="N8" s="12" t="s">
        <v>1148</v>
      </c>
      <c r="O8" s="12" t="s">
        <v>1149</v>
      </c>
      <c r="P8" s="12" t="s">
        <v>1150</v>
      </c>
      <c r="Q8" s="12" t="s">
        <v>1151</v>
      </c>
      <c r="R8" s="12" t="s">
        <v>1152</v>
      </c>
      <c r="S8" s="12" t="s">
        <v>1153</v>
      </c>
      <c r="T8" s="12" t="s">
        <v>1154</v>
      </c>
      <c r="U8" s="12" t="s">
        <v>1155</v>
      </c>
      <c r="V8" s="12" t="s">
        <v>1156</v>
      </c>
      <c r="W8" s="12" t="s">
        <v>1157</v>
      </c>
      <c r="X8" s="12" t="s">
        <v>1158</v>
      </c>
      <c r="Y8" s="12" t="s">
        <v>1159</v>
      </c>
      <c r="Z8" s="2"/>
    </row>
    <row r="9" customFormat="false" ht="42" hidden="false" customHeight="true" outlineLevel="0" collapsed="false">
      <c r="A9" s="12" t="s">
        <v>135</v>
      </c>
      <c r="B9" s="12" t="s">
        <v>136</v>
      </c>
      <c r="C9" s="20"/>
      <c r="D9" s="20"/>
      <c r="E9" s="20"/>
      <c r="F9" s="12" t="s">
        <v>1160</v>
      </c>
      <c r="G9" s="12" t="s">
        <v>1161</v>
      </c>
      <c r="H9" s="12" t="s">
        <v>1162</v>
      </c>
      <c r="I9" s="12" t="s">
        <v>1163</v>
      </c>
      <c r="J9" s="12" t="s">
        <v>1164</v>
      </c>
      <c r="K9" s="12" t="s">
        <v>1165</v>
      </c>
      <c r="L9" s="12" t="s">
        <v>1166</v>
      </c>
      <c r="M9" s="12" t="s">
        <v>1167</v>
      </c>
      <c r="N9" s="12" t="s">
        <v>1168</v>
      </c>
      <c r="O9" s="12" t="s">
        <v>1169</v>
      </c>
      <c r="P9" s="12" t="s">
        <v>1170</v>
      </c>
      <c r="Q9" s="12" t="s">
        <v>1171</v>
      </c>
      <c r="R9" s="12" t="s">
        <v>1172</v>
      </c>
      <c r="S9" s="12" t="s">
        <v>1173</v>
      </c>
      <c r="T9" s="12" t="s">
        <v>1174</v>
      </c>
      <c r="U9" s="12" t="s">
        <v>1175</v>
      </c>
      <c r="V9" s="12" t="s">
        <v>1176</v>
      </c>
      <c r="W9" s="12" t="s">
        <v>1177</v>
      </c>
      <c r="X9" s="12" t="s">
        <v>1178</v>
      </c>
      <c r="Y9" s="12" t="s">
        <v>1179</v>
      </c>
      <c r="Z9" s="2"/>
    </row>
    <row r="10" customFormat="false" ht="42" hidden="false" customHeight="true" outlineLevel="0" collapsed="false">
      <c r="A10" s="12" t="s">
        <v>146</v>
      </c>
      <c r="B10" s="12" t="s">
        <v>147</v>
      </c>
      <c r="C10" s="20"/>
      <c r="D10" s="20"/>
      <c r="E10" s="20"/>
      <c r="F10" s="12" t="s">
        <v>1180</v>
      </c>
      <c r="G10" s="12" t="s">
        <v>1181</v>
      </c>
      <c r="H10" s="12" t="s">
        <v>1182</v>
      </c>
      <c r="I10" s="12" t="s">
        <v>1183</v>
      </c>
      <c r="J10" s="12" t="s">
        <v>1184</v>
      </c>
      <c r="K10" s="12" t="s">
        <v>1185</v>
      </c>
      <c r="L10" s="12" t="s">
        <v>1186</v>
      </c>
      <c r="M10" s="12" t="s">
        <v>1187</v>
      </c>
      <c r="N10" s="12" t="s">
        <v>1188</v>
      </c>
      <c r="O10" s="12" t="s">
        <v>1189</v>
      </c>
      <c r="P10" s="12" t="s">
        <v>1190</v>
      </c>
      <c r="Q10" s="12" t="s">
        <v>1191</v>
      </c>
      <c r="R10" s="12" t="s">
        <v>1192</v>
      </c>
      <c r="S10" s="12" t="s">
        <v>1193</v>
      </c>
      <c r="T10" s="12" t="s">
        <v>1194</v>
      </c>
      <c r="U10" s="12" t="s">
        <v>1195</v>
      </c>
      <c r="V10" s="12" t="s">
        <v>1196</v>
      </c>
      <c r="W10" s="12" t="s">
        <v>1197</v>
      </c>
      <c r="X10" s="12" t="s">
        <v>1198</v>
      </c>
      <c r="Y10" s="12" t="s">
        <v>1199</v>
      </c>
      <c r="Z10" s="2"/>
    </row>
    <row r="11" customFormat="false" ht="42" hidden="false" customHeight="true" outlineLevel="0" collapsed="false">
      <c r="A11" s="12" t="s">
        <v>157</v>
      </c>
      <c r="B11" s="12" t="s">
        <v>158</v>
      </c>
      <c r="C11" s="20"/>
      <c r="D11" s="20"/>
      <c r="E11" s="20"/>
      <c r="F11" s="12" t="s">
        <v>1200</v>
      </c>
      <c r="G11" s="12" t="s">
        <v>1201</v>
      </c>
      <c r="H11" s="12" t="s">
        <v>1202</v>
      </c>
      <c r="I11" s="12" t="s">
        <v>1203</v>
      </c>
      <c r="J11" s="12" t="s">
        <v>1204</v>
      </c>
      <c r="K11" s="12" t="s">
        <v>1205</v>
      </c>
      <c r="L11" s="12" t="s">
        <v>1206</v>
      </c>
      <c r="M11" s="12" t="s">
        <v>1207</v>
      </c>
      <c r="N11" s="12" t="s">
        <v>1208</v>
      </c>
      <c r="O11" s="12" t="s">
        <v>1209</v>
      </c>
      <c r="P11" s="12" t="s">
        <v>1210</v>
      </c>
      <c r="Q11" s="12" t="s">
        <v>1211</v>
      </c>
      <c r="R11" s="12" t="s">
        <v>1212</v>
      </c>
      <c r="S11" s="12" t="s">
        <v>1213</v>
      </c>
      <c r="T11" s="12" t="s">
        <v>1214</v>
      </c>
      <c r="U11" s="12" t="s">
        <v>1215</v>
      </c>
      <c r="V11" s="12" t="s">
        <v>1216</v>
      </c>
      <c r="W11" s="12" t="s">
        <v>1217</v>
      </c>
      <c r="X11" s="12" t="s">
        <v>1218</v>
      </c>
      <c r="Y11" s="12" t="s">
        <v>1219</v>
      </c>
      <c r="Z11" s="2"/>
    </row>
    <row r="12" customFormat="false" ht="42" hidden="false" customHeight="true" outlineLevel="0" collapsed="false">
      <c r="A12" s="12" t="s">
        <v>168</v>
      </c>
      <c r="B12" s="12" t="s">
        <v>169</v>
      </c>
      <c r="C12" s="20"/>
      <c r="D12" s="20"/>
      <c r="E12" s="20"/>
      <c r="F12" s="12" t="s">
        <v>1220</v>
      </c>
      <c r="G12" s="12" t="s">
        <v>1221</v>
      </c>
      <c r="H12" s="12" t="s">
        <v>1222</v>
      </c>
      <c r="I12" s="12" t="s">
        <v>1223</v>
      </c>
      <c r="J12" s="12" t="s">
        <v>1224</v>
      </c>
      <c r="K12" s="12" t="s">
        <v>1225</v>
      </c>
      <c r="L12" s="12" t="s">
        <v>1226</v>
      </c>
      <c r="M12" s="12" t="s">
        <v>1227</v>
      </c>
      <c r="N12" s="12" t="s">
        <v>1228</v>
      </c>
      <c r="O12" s="12" t="s">
        <v>1229</v>
      </c>
      <c r="P12" s="12" t="s">
        <v>1230</v>
      </c>
      <c r="Q12" s="12" t="s">
        <v>1231</v>
      </c>
      <c r="R12" s="12" t="s">
        <v>1232</v>
      </c>
      <c r="S12" s="12" t="s">
        <v>1233</v>
      </c>
      <c r="T12" s="12" t="s">
        <v>1234</v>
      </c>
      <c r="U12" s="12" t="s">
        <v>1235</v>
      </c>
      <c r="V12" s="12" t="s">
        <v>1236</v>
      </c>
      <c r="W12" s="12" t="s">
        <v>1237</v>
      </c>
      <c r="X12" s="12" t="s">
        <v>1238</v>
      </c>
      <c r="Y12" s="12" t="s">
        <v>1239</v>
      </c>
      <c r="Z12" s="2"/>
    </row>
    <row r="13" customFormat="false" ht="42" hidden="false" customHeight="true" outlineLevel="0" collapsed="false">
      <c r="A13" s="12" t="s">
        <v>179</v>
      </c>
      <c r="B13" s="12" t="s">
        <v>180</v>
      </c>
      <c r="C13" s="20"/>
      <c r="D13" s="20"/>
      <c r="E13" s="20"/>
      <c r="F13" s="12" t="s">
        <v>1240</v>
      </c>
      <c r="G13" s="12" t="s">
        <v>1241</v>
      </c>
      <c r="H13" s="12" t="s">
        <v>1242</v>
      </c>
      <c r="I13" s="12" t="s">
        <v>1243</v>
      </c>
      <c r="J13" s="12" t="s">
        <v>1244</v>
      </c>
      <c r="K13" s="12" t="s">
        <v>1245</v>
      </c>
      <c r="L13" s="12" t="s">
        <v>1246</v>
      </c>
      <c r="M13" s="12" t="s">
        <v>1247</v>
      </c>
      <c r="N13" s="12" t="s">
        <v>1248</v>
      </c>
      <c r="O13" s="12" t="s">
        <v>1249</v>
      </c>
      <c r="P13" s="12" t="s">
        <v>1250</v>
      </c>
      <c r="Q13" s="12" t="s">
        <v>1251</v>
      </c>
      <c r="R13" s="12" t="s">
        <v>1252</v>
      </c>
      <c r="S13" s="12" t="s">
        <v>1253</v>
      </c>
      <c r="T13" s="12" t="s">
        <v>1254</v>
      </c>
      <c r="U13" s="12" t="s">
        <v>1255</v>
      </c>
      <c r="V13" s="12" t="s">
        <v>1256</v>
      </c>
      <c r="W13" s="12" t="s">
        <v>1257</v>
      </c>
      <c r="X13" s="12" t="s">
        <v>1258</v>
      </c>
      <c r="Y13" s="12" t="s">
        <v>1259</v>
      </c>
      <c r="Z13" s="2"/>
    </row>
    <row r="14" customFormat="false" ht="42" hidden="false" customHeight="true" outlineLevel="0" collapsed="false">
      <c r="A14" s="12" t="s">
        <v>190</v>
      </c>
      <c r="B14" s="12" t="s">
        <v>191</v>
      </c>
      <c r="C14" s="20"/>
      <c r="D14" s="20"/>
      <c r="E14" s="20"/>
      <c r="F14" s="12" t="s">
        <v>1260</v>
      </c>
      <c r="G14" s="12" t="s">
        <v>1261</v>
      </c>
      <c r="H14" s="12" t="s">
        <v>1262</v>
      </c>
      <c r="I14" s="12" t="s">
        <v>1263</v>
      </c>
      <c r="J14" s="12" t="s">
        <v>1264</v>
      </c>
      <c r="K14" s="12" t="s">
        <v>1265</v>
      </c>
      <c r="L14" s="12" t="s">
        <v>1266</v>
      </c>
      <c r="M14" s="12" t="s">
        <v>1265</v>
      </c>
      <c r="N14" s="12" t="s">
        <v>1267</v>
      </c>
      <c r="O14" s="12" t="s">
        <v>1268</v>
      </c>
      <c r="P14" s="12" t="s">
        <v>1269</v>
      </c>
      <c r="Q14" s="12" t="s">
        <v>1270</v>
      </c>
      <c r="R14" s="12" t="s">
        <v>1269</v>
      </c>
      <c r="S14" s="12" t="s">
        <v>1271</v>
      </c>
      <c r="T14" s="12" t="s">
        <v>1272</v>
      </c>
      <c r="U14" s="12" t="s">
        <v>1273</v>
      </c>
      <c r="V14" s="12" t="s">
        <v>1274</v>
      </c>
      <c r="W14" s="12" t="s">
        <v>1275</v>
      </c>
      <c r="X14" s="12" t="s">
        <v>1276</v>
      </c>
      <c r="Y14" s="12" t="s">
        <v>1277</v>
      </c>
      <c r="Z14" s="2"/>
    </row>
    <row r="15" customFormat="false" ht="42" hidden="false" customHeight="true" outlineLevel="0" collapsed="false">
      <c r="A15" s="12" t="s">
        <v>200</v>
      </c>
      <c r="B15" s="12" t="s">
        <v>201</v>
      </c>
      <c r="C15" s="20"/>
      <c r="D15" s="20"/>
      <c r="E15" s="20"/>
      <c r="F15" s="12" t="s">
        <v>1278</v>
      </c>
      <c r="G15" s="12" t="s">
        <v>1279</v>
      </c>
      <c r="H15" s="12" t="s">
        <v>1280</v>
      </c>
      <c r="I15" s="12" t="s">
        <v>1281</v>
      </c>
      <c r="J15" s="12" t="s">
        <v>1280</v>
      </c>
      <c r="K15" s="12" t="s">
        <v>1282</v>
      </c>
      <c r="L15" s="12" t="s">
        <v>1282</v>
      </c>
      <c r="M15" s="12" t="s">
        <v>1282</v>
      </c>
      <c r="N15" s="12" t="s">
        <v>1282</v>
      </c>
      <c r="O15" s="12" t="s">
        <v>1282</v>
      </c>
      <c r="P15" s="12" t="s">
        <v>1283</v>
      </c>
      <c r="Q15" s="12" t="s">
        <v>1284</v>
      </c>
      <c r="R15" s="12" t="s">
        <v>1283</v>
      </c>
      <c r="S15" s="12" t="s">
        <v>1283</v>
      </c>
      <c r="T15" s="12" t="s">
        <v>1283</v>
      </c>
      <c r="U15" s="12" t="s">
        <v>1285</v>
      </c>
      <c r="V15" s="12" t="s">
        <v>1286</v>
      </c>
      <c r="W15" s="12" t="s">
        <v>1287</v>
      </c>
      <c r="X15" s="12" t="s">
        <v>1288</v>
      </c>
      <c r="Y15" s="12" t="s">
        <v>1289</v>
      </c>
      <c r="Z15" s="2"/>
    </row>
    <row r="16" customFormat="false" ht="42" hidden="false" customHeight="true" outlineLevel="0" collapsed="false">
      <c r="A16" s="12" t="s">
        <v>208</v>
      </c>
      <c r="B16" s="12" t="s">
        <v>209</v>
      </c>
      <c r="C16" s="20"/>
      <c r="D16" s="20"/>
      <c r="E16" s="20"/>
      <c r="F16" s="12" t="s">
        <v>1290</v>
      </c>
      <c r="G16" s="12" t="s">
        <v>1291</v>
      </c>
      <c r="H16" s="12" t="s">
        <v>1292</v>
      </c>
      <c r="I16" s="12" t="s">
        <v>1293</v>
      </c>
      <c r="J16" s="12" t="s">
        <v>1294</v>
      </c>
      <c r="K16" s="12" t="s">
        <v>1295</v>
      </c>
      <c r="L16" s="12" t="s">
        <v>1296</v>
      </c>
      <c r="M16" s="12" t="s">
        <v>1297</v>
      </c>
      <c r="N16" s="12" t="s">
        <v>1298</v>
      </c>
      <c r="O16" s="12" t="s">
        <v>1299</v>
      </c>
      <c r="P16" s="12" t="s">
        <v>1300</v>
      </c>
      <c r="Q16" s="12" t="s">
        <v>1301</v>
      </c>
      <c r="R16" s="12" t="s">
        <v>1302</v>
      </c>
      <c r="S16" s="12" t="s">
        <v>1303</v>
      </c>
      <c r="T16" s="12" t="s">
        <v>1304</v>
      </c>
      <c r="U16" s="12" t="s">
        <v>1305</v>
      </c>
      <c r="V16" s="12" t="s">
        <v>1306</v>
      </c>
      <c r="W16" s="12" t="s">
        <v>1307</v>
      </c>
      <c r="X16" s="12" t="s">
        <v>1308</v>
      </c>
      <c r="Y16" s="12" t="s">
        <v>1309</v>
      </c>
      <c r="Z16" s="2"/>
    </row>
    <row r="17" customFormat="false" ht="42" hidden="false" customHeight="true" outlineLevel="0" collapsed="false">
      <c r="A17" s="12" t="s">
        <v>219</v>
      </c>
      <c r="B17" s="12" t="s">
        <v>220</v>
      </c>
      <c r="C17" s="20"/>
      <c r="D17" s="20"/>
      <c r="E17" s="20"/>
      <c r="F17" s="12" t="s">
        <v>1310</v>
      </c>
      <c r="G17" s="12" t="s">
        <v>1311</v>
      </c>
      <c r="H17" s="12" t="s">
        <v>1312</v>
      </c>
      <c r="I17" s="12" t="s">
        <v>1313</v>
      </c>
      <c r="J17" s="12" t="s">
        <v>1314</v>
      </c>
      <c r="K17" s="12" t="s">
        <v>1315</v>
      </c>
      <c r="L17" s="12" t="s">
        <v>1316</v>
      </c>
      <c r="M17" s="12" t="s">
        <v>1317</v>
      </c>
      <c r="N17" s="12" t="s">
        <v>1318</v>
      </c>
      <c r="O17" s="12" t="s">
        <v>1319</v>
      </c>
      <c r="P17" s="12" t="s">
        <v>1320</v>
      </c>
      <c r="Q17" s="12" t="s">
        <v>1321</v>
      </c>
      <c r="R17" s="12" t="s">
        <v>1322</v>
      </c>
      <c r="S17" s="12" t="s">
        <v>1323</v>
      </c>
      <c r="T17" s="12" t="s">
        <v>1324</v>
      </c>
      <c r="U17" s="12" t="s">
        <v>1325</v>
      </c>
      <c r="V17" s="12" t="s">
        <v>1326</v>
      </c>
      <c r="W17" s="12" t="s">
        <v>1327</v>
      </c>
      <c r="X17" s="12" t="s">
        <v>1328</v>
      </c>
      <c r="Y17" s="12" t="s">
        <v>1329</v>
      </c>
      <c r="Z17" s="2"/>
    </row>
    <row r="18" customFormat="false" ht="42" hidden="false" customHeight="true" outlineLevel="0" collapsed="false">
      <c r="A18" s="12" t="s">
        <v>230</v>
      </c>
      <c r="B18" s="12" t="s">
        <v>231</v>
      </c>
      <c r="C18" s="20"/>
      <c r="D18" s="20"/>
      <c r="E18" s="20"/>
      <c r="F18" s="12" t="s">
        <v>1330</v>
      </c>
      <c r="G18" s="12" t="s">
        <v>1331</v>
      </c>
      <c r="H18" s="12" t="s">
        <v>1332</v>
      </c>
      <c r="I18" s="12" t="s">
        <v>1333</v>
      </c>
      <c r="J18" s="12" t="s">
        <v>1334</v>
      </c>
      <c r="K18" s="12" t="s">
        <v>1335</v>
      </c>
      <c r="L18" s="12" t="s">
        <v>1336</v>
      </c>
      <c r="M18" s="12" t="s">
        <v>1337</v>
      </c>
      <c r="N18" s="12" t="s">
        <v>1338</v>
      </c>
      <c r="O18" s="12" t="s">
        <v>1339</v>
      </c>
      <c r="P18" s="12" t="s">
        <v>1340</v>
      </c>
      <c r="Q18" s="12" t="s">
        <v>1341</v>
      </c>
      <c r="R18" s="12" t="s">
        <v>1342</v>
      </c>
      <c r="S18" s="12" t="s">
        <v>1343</v>
      </c>
      <c r="T18" s="12" t="s">
        <v>1344</v>
      </c>
      <c r="U18" s="12" t="s">
        <v>1345</v>
      </c>
      <c r="V18" s="12" t="s">
        <v>1346</v>
      </c>
      <c r="W18" s="12" t="s">
        <v>1347</v>
      </c>
      <c r="X18" s="12" t="s">
        <v>1348</v>
      </c>
      <c r="Y18" s="12" t="s">
        <v>1349</v>
      </c>
      <c r="Z18" s="2"/>
    </row>
    <row r="19" customFormat="false" ht="42" hidden="false" customHeight="true" outlineLevel="0" collapsed="false">
      <c r="A19" s="12" t="s">
        <v>241</v>
      </c>
      <c r="B19" s="12" t="s">
        <v>242</v>
      </c>
      <c r="C19" s="20"/>
      <c r="D19" s="20"/>
      <c r="E19" s="20"/>
      <c r="F19" s="12" t="s">
        <v>1350</v>
      </c>
      <c r="G19" s="12" t="s">
        <v>1351</v>
      </c>
      <c r="H19" s="12" t="s">
        <v>1352</v>
      </c>
      <c r="I19" s="12" t="s">
        <v>1353</v>
      </c>
      <c r="J19" s="12" t="s">
        <v>1354</v>
      </c>
      <c r="K19" s="12" t="s">
        <v>1355</v>
      </c>
      <c r="L19" s="12" t="s">
        <v>1356</v>
      </c>
      <c r="M19" s="12" t="s">
        <v>1357</v>
      </c>
      <c r="N19" s="12" t="s">
        <v>1358</v>
      </c>
      <c r="O19" s="12" t="s">
        <v>1359</v>
      </c>
      <c r="P19" s="12" t="s">
        <v>1360</v>
      </c>
      <c r="Q19" s="12" t="s">
        <v>1361</v>
      </c>
      <c r="R19" s="12" t="s">
        <v>1362</v>
      </c>
      <c r="S19" s="12" t="s">
        <v>1363</v>
      </c>
      <c r="T19" s="12" t="s">
        <v>1364</v>
      </c>
      <c r="U19" s="12" t="s">
        <v>1365</v>
      </c>
      <c r="V19" s="12" t="s">
        <v>1366</v>
      </c>
      <c r="W19" s="12" t="s">
        <v>1367</v>
      </c>
      <c r="X19" s="12" t="s">
        <v>1368</v>
      </c>
      <c r="Y19" s="12" t="s">
        <v>1369</v>
      </c>
      <c r="Z19" s="2"/>
    </row>
    <row r="20" customFormat="false" ht="42" hidden="false" customHeight="true" outlineLevel="0" collapsed="false">
      <c r="A20" s="12" t="s">
        <v>252</v>
      </c>
      <c r="B20" s="12" t="s">
        <v>253</v>
      </c>
      <c r="C20" s="20"/>
      <c r="D20" s="20"/>
      <c r="E20" s="20"/>
      <c r="F20" s="12" t="s">
        <v>1370</v>
      </c>
      <c r="G20" s="12" t="s">
        <v>1371</v>
      </c>
      <c r="H20" s="12" t="s">
        <v>1372</v>
      </c>
      <c r="I20" s="12" t="s">
        <v>1373</v>
      </c>
      <c r="J20" s="12" t="s">
        <v>1374</v>
      </c>
      <c r="K20" s="12" t="s">
        <v>1375</v>
      </c>
      <c r="L20" s="12" t="s">
        <v>1376</v>
      </c>
      <c r="M20" s="12" t="s">
        <v>1377</v>
      </c>
      <c r="N20" s="12" t="s">
        <v>1378</v>
      </c>
      <c r="O20" s="12" t="s">
        <v>1379</v>
      </c>
      <c r="P20" s="12" t="s">
        <v>1380</v>
      </c>
      <c r="Q20" s="12" t="s">
        <v>1381</v>
      </c>
      <c r="R20" s="12" t="s">
        <v>1382</v>
      </c>
      <c r="S20" s="12" t="s">
        <v>1383</v>
      </c>
      <c r="T20" s="12" t="s">
        <v>1384</v>
      </c>
      <c r="U20" s="12" t="s">
        <v>1385</v>
      </c>
      <c r="V20" s="12" t="s">
        <v>1386</v>
      </c>
      <c r="W20" s="12" t="s">
        <v>1387</v>
      </c>
      <c r="X20" s="12" t="s">
        <v>1388</v>
      </c>
      <c r="Y20" s="12" t="s">
        <v>1389</v>
      </c>
      <c r="Z20" s="2"/>
    </row>
    <row r="21" customFormat="false" ht="42" hidden="false" customHeight="true" outlineLevel="0" collapsed="false">
      <c r="A21" s="12" t="s">
        <v>263</v>
      </c>
      <c r="B21" s="12" t="s">
        <v>264</v>
      </c>
      <c r="C21" s="20"/>
      <c r="D21" s="20"/>
      <c r="E21" s="20"/>
      <c r="F21" s="12" t="s">
        <v>1390</v>
      </c>
      <c r="G21" s="12" t="s">
        <v>1391</v>
      </c>
      <c r="H21" s="12" t="s">
        <v>1392</v>
      </c>
      <c r="I21" s="12" t="s">
        <v>1393</v>
      </c>
      <c r="J21" s="12" t="s">
        <v>1394</v>
      </c>
      <c r="K21" s="12" t="s">
        <v>1395</v>
      </c>
      <c r="L21" s="12" t="s">
        <v>1396</v>
      </c>
      <c r="M21" s="12" t="s">
        <v>1397</v>
      </c>
      <c r="N21" s="12" t="s">
        <v>1398</v>
      </c>
      <c r="O21" s="12" t="s">
        <v>1399</v>
      </c>
      <c r="P21" s="12" t="s">
        <v>1400</v>
      </c>
      <c r="Q21" s="12" t="s">
        <v>1401</v>
      </c>
      <c r="R21" s="12" t="s">
        <v>1402</v>
      </c>
      <c r="S21" s="12" t="s">
        <v>1403</v>
      </c>
      <c r="T21" s="12" t="s">
        <v>1404</v>
      </c>
      <c r="U21" s="12" t="s">
        <v>1405</v>
      </c>
      <c r="V21" s="12" t="s">
        <v>1406</v>
      </c>
      <c r="W21" s="12" t="s">
        <v>1407</v>
      </c>
      <c r="X21" s="12" t="s">
        <v>1408</v>
      </c>
      <c r="Y21" s="12" t="s">
        <v>1409</v>
      </c>
      <c r="Z21" s="2"/>
    </row>
    <row r="22" customFormat="false" ht="42" hidden="false" customHeight="true" outlineLevel="0" collapsed="false">
      <c r="A22" s="12" t="s">
        <v>274</v>
      </c>
      <c r="B22" s="12" t="s">
        <v>275</v>
      </c>
      <c r="C22" s="20"/>
      <c r="D22" s="20"/>
      <c r="E22" s="20"/>
      <c r="F22" s="12" t="s">
        <v>1410</v>
      </c>
      <c r="G22" s="12" t="s">
        <v>1411</v>
      </c>
      <c r="H22" s="12" t="s">
        <v>1412</v>
      </c>
      <c r="I22" s="12" t="s">
        <v>1413</v>
      </c>
      <c r="J22" s="12" t="s">
        <v>1414</v>
      </c>
      <c r="K22" s="12" t="s">
        <v>1415</v>
      </c>
      <c r="L22" s="12" t="s">
        <v>1416</v>
      </c>
      <c r="M22" s="12" t="s">
        <v>1417</v>
      </c>
      <c r="N22" s="12" t="s">
        <v>1418</v>
      </c>
      <c r="O22" s="12" t="s">
        <v>1419</v>
      </c>
      <c r="P22" s="12" t="s">
        <v>1420</v>
      </c>
      <c r="Q22" s="12" t="s">
        <v>1421</v>
      </c>
      <c r="R22" s="12" t="s">
        <v>1422</v>
      </c>
      <c r="S22" s="12" t="s">
        <v>1423</v>
      </c>
      <c r="T22" s="12" t="s">
        <v>1424</v>
      </c>
      <c r="U22" s="12" t="s">
        <v>1425</v>
      </c>
      <c r="V22" s="12" t="s">
        <v>1426</v>
      </c>
      <c r="W22" s="12" t="s">
        <v>1427</v>
      </c>
      <c r="X22" s="12" t="s">
        <v>1428</v>
      </c>
      <c r="Y22" s="12" t="s">
        <v>1429</v>
      </c>
      <c r="Z22" s="2"/>
    </row>
    <row r="23" customFormat="false" ht="42" hidden="false" customHeight="true" outlineLevel="0" collapsed="false">
      <c r="A23" s="12" t="s">
        <v>285</v>
      </c>
      <c r="B23" s="12" t="s">
        <v>286</v>
      </c>
      <c r="C23" s="20"/>
      <c r="D23" s="20"/>
      <c r="E23" s="20"/>
      <c r="F23" s="12" t="s">
        <v>1430</v>
      </c>
      <c r="G23" s="12" t="s">
        <v>1431</v>
      </c>
      <c r="H23" s="12" t="s">
        <v>1432</v>
      </c>
      <c r="I23" s="12" t="s">
        <v>1433</v>
      </c>
      <c r="J23" s="12" t="s">
        <v>1434</v>
      </c>
      <c r="K23" s="12" t="s">
        <v>1435</v>
      </c>
      <c r="L23" s="12" t="s">
        <v>1436</v>
      </c>
      <c r="M23" s="12" t="s">
        <v>1437</v>
      </c>
      <c r="N23" s="12" t="s">
        <v>1438</v>
      </c>
      <c r="O23" s="12" t="s">
        <v>1439</v>
      </c>
      <c r="P23" s="12" t="s">
        <v>1440</v>
      </c>
      <c r="Q23" s="12" t="s">
        <v>1441</v>
      </c>
      <c r="R23" s="12" t="s">
        <v>1442</v>
      </c>
      <c r="S23" s="12" t="s">
        <v>1443</v>
      </c>
      <c r="T23" s="12" t="s">
        <v>1444</v>
      </c>
      <c r="U23" s="12" t="s">
        <v>1445</v>
      </c>
      <c r="V23" s="12" t="s">
        <v>1446</v>
      </c>
      <c r="W23" s="12" t="s">
        <v>1447</v>
      </c>
      <c r="X23" s="12" t="s">
        <v>1448</v>
      </c>
      <c r="Y23" s="12" t="s">
        <v>1449</v>
      </c>
      <c r="Z23" s="2"/>
    </row>
    <row r="24" customFormat="false" ht="42" hidden="false" customHeight="true" outlineLevel="0" collapsed="false">
      <c r="A24" s="12" t="s">
        <v>296</v>
      </c>
      <c r="B24" s="12" t="s">
        <v>297</v>
      </c>
      <c r="C24" s="20"/>
      <c r="D24" s="20"/>
      <c r="E24" s="20"/>
      <c r="F24" s="12" t="s">
        <v>1450</v>
      </c>
      <c r="G24" s="12" t="s">
        <v>1451</v>
      </c>
      <c r="H24" s="12" t="s">
        <v>1452</v>
      </c>
      <c r="I24" s="12" t="s">
        <v>1453</v>
      </c>
      <c r="J24" s="12" t="s">
        <v>1452</v>
      </c>
      <c r="K24" s="12" t="s">
        <v>1454</v>
      </c>
      <c r="L24" s="12" t="s">
        <v>1455</v>
      </c>
      <c r="M24" s="12" t="s">
        <v>1456</v>
      </c>
      <c r="N24" s="12" t="s">
        <v>1457</v>
      </c>
      <c r="O24" s="12" t="s">
        <v>1456</v>
      </c>
      <c r="P24" s="12" t="s">
        <v>1458</v>
      </c>
      <c r="Q24" s="12" t="s">
        <v>1459</v>
      </c>
      <c r="R24" s="12" t="s">
        <v>1460</v>
      </c>
      <c r="S24" s="12" t="s">
        <v>1461</v>
      </c>
      <c r="T24" s="12" t="s">
        <v>1460</v>
      </c>
      <c r="U24" s="12" t="s">
        <v>1462</v>
      </c>
      <c r="V24" s="12" t="s">
        <v>1463</v>
      </c>
      <c r="W24" s="12" t="s">
        <v>1464</v>
      </c>
      <c r="X24" s="12" t="s">
        <v>1465</v>
      </c>
      <c r="Y24" s="12" t="s">
        <v>1466</v>
      </c>
      <c r="Z24" s="2"/>
    </row>
    <row r="25" customFormat="false" ht="42" hidden="false" customHeight="true" outlineLevel="0" collapsed="false">
      <c r="A25" s="12" t="s">
        <v>306</v>
      </c>
      <c r="B25" s="12" t="s">
        <v>307</v>
      </c>
      <c r="C25" s="20"/>
      <c r="D25" s="20"/>
      <c r="E25" s="20"/>
      <c r="F25" s="12" t="s">
        <v>1467</v>
      </c>
      <c r="G25" s="12" t="s">
        <v>1468</v>
      </c>
      <c r="H25" s="12" t="s">
        <v>1469</v>
      </c>
      <c r="I25" s="12" t="s">
        <v>1470</v>
      </c>
      <c r="J25" s="12" t="s">
        <v>1469</v>
      </c>
      <c r="K25" s="12" t="s">
        <v>1471</v>
      </c>
      <c r="L25" s="12" t="s">
        <v>1472</v>
      </c>
      <c r="M25" s="12" t="s">
        <v>1472</v>
      </c>
      <c r="N25" s="12" t="s">
        <v>1473</v>
      </c>
      <c r="O25" s="12" t="s">
        <v>1472</v>
      </c>
      <c r="P25" s="12" t="s">
        <v>1474</v>
      </c>
      <c r="Q25" s="12" t="s">
        <v>1475</v>
      </c>
      <c r="R25" s="12" t="s">
        <v>1476</v>
      </c>
      <c r="S25" s="12" t="s">
        <v>1477</v>
      </c>
      <c r="T25" s="12" t="s">
        <v>1476</v>
      </c>
      <c r="U25" s="12" t="s">
        <v>1478</v>
      </c>
      <c r="V25" s="12" t="s">
        <v>1479</v>
      </c>
      <c r="W25" s="12" t="s">
        <v>1480</v>
      </c>
      <c r="X25" s="12" t="s">
        <v>1481</v>
      </c>
      <c r="Y25" s="12" t="s">
        <v>1482</v>
      </c>
      <c r="Z25" s="2"/>
    </row>
    <row r="26" customFormat="false" ht="42" hidden="false" customHeight="true" outlineLevel="0" collapsed="false">
      <c r="A26" s="12" t="s">
        <v>316</v>
      </c>
      <c r="B26" s="12" t="s">
        <v>317</v>
      </c>
      <c r="C26" s="20"/>
      <c r="D26" s="20"/>
      <c r="E26" s="20"/>
      <c r="F26" s="12" t="s">
        <v>1483</v>
      </c>
      <c r="G26" s="12" t="s">
        <v>1484</v>
      </c>
      <c r="H26" s="12" t="s">
        <v>1485</v>
      </c>
      <c r="I26" s="12" t="s">
        <v>1486</v>
      </c>
      <c r="J26" s="12" t="s">
        <v>1487</v>
      </c>
      <c r="K26" s="12" t="s">
        <v>1488</v>
      </c>
      <c r="L26" s="12" t="s">
        <v>1488</v>
      </c>
      <c r="M26" s="12" t="s">
        <v>1489</v>
      </c>
      <c r="N26" s="12" t="s">
        <v>1489</v>
      </c>
      <c r="O26" s="12" t="s">
        <v>1490</v>
      </c>
      <c r="P26" s="12" t="s">
        <v>1491</v>
      </c>
      <c r="Q26" s="12" t="s">
        <v>1491</v>
      </c>
      <c r="R26" s="12" t="s">
        <v>1492</v>
      </c>
      <c r="S26" s="12" t="s">
        <v>1492</v>
      </c>
      <c r="T26" s="12" t="s">
        <v>1493</v>
      </c>
      <c r="U26" s="12" t="s">
        <v>1494</v>
      </c>
      <c r="V26" s="12" t="s">
        <v>1495</v>
      </c>
      <c r="W26" s="12" t="s">
        <v>1496</v>
      </c>
      <c r="X26" s="12" t="s">
        <v>1497</v>
      </c>
      <c r="Y26" s="12" t="s">
        <v>1498</v>
      </c>
      <c r="Z26" s="2"/>
    </row>
    <row r="27" customFormat="false" ht="42" hidden="false" customHeight="true" outlineLevel="0" collapsed="false">
      <c r="A27" s="12" t="s">
        <v>325</v>
      </c>
      <c r="B27" s="12" t="s">
        <v>326</v>
      </c>
      <c r="C27" s="20"/>
      <c r="D27" s="20"/>
      <c r="E27" s="20"/>
      <c r="F27" s="12" t="s">
        <v>1499</v>
      </c>
      <c r="G27" s="12" t="s">
        <v>1500</v>
      </c>
      <c r="H27" s="12" t="s">
        <v>1501</v>
      </c>
      <c r="I27" s="12" t="s">
        <v>1502</v>
      </c>
      <c r="J27" s="12" t="s">
        <v>1503</v>
      </c>
      <c r="K27" s="12" t="s">
        <v>1504</v>
      </c>
      <c r="L27" s="12" t="s">
        <v>1504</v>
      </c>
      <c r="M27" s="12" t="s">
        <v>1505</v>
      </c>
      <c r="N27" s="12" t="s">
        <v>1504</v>
      </c>
      <c r="O27" s="12" t="s">
        <v>1506</v>
      </c>
      <c r="P27" s="12" t="s">
        <v>1507</v>
      </c>
      <c r="Q27" s="12" t="s">
        <v>1507</v>
      </c>
      <c r="R27" s="12" t="s">
        <v>1508</v>
      </c>
      <c r="S27" s="12" t="s">
        <v>1507</v>
      </c>
      <c r="T27" s="12" t="s">
        <v>1509</v>
      </c>
      <c r="U27" s="12" t="s">
        <v>1510</v>
      </c>
      <c r="V27" s="12" t="s">
        <v>1511</v>
      </c>
      <c r="W27" s="12" t="s">
        <v>1512</v>
      </c>
      <c r="X27" s="12" t="s">
        <v>1513</v>
      </c>
      <c r="Y27" s="12" t="s">
        <v>1514</v>
      </c>
      <c r="Z27" s="2"/>
    </row>
    <row r="28" customFormat="false" ht="42" hidden="false" customHeight="true" outlineLevel="0" collapsed="false">
      <c r="A28" s="12" t="s">
        <v>334</v>
      </c>
      <c r="B28" s="12" t="s">
        <v>335</v>
      </c>
      <c r="C28" s="20"/>
      <c r="D28" s="20"/>
      <c r="E28" s="20"/>
      <c r="F28" s="12" t="s">
        <v>1515</v>
      </c>
      <c r="G28" s="12" t="s">
        <v>1516</v>
      </c>
      <c r="H28" s="12" t="s">
        <v>1517</v>
      </c>
      <c r="I28" s="12" t="s">
        <v>1518</v>
      </c>
      <c r="J28" s="12" t="s">
        <v>1519</v>
      </c>
      <c r="K28" s="12" t="s">
        <v>1520</v>
      </c>
      <c r="L28" s="12" t="s">
        <v>1520</v>
      </c>
      <c r="M28" s="12" t="s">
        <v>1521</v>
      </c>
      <c r="N28" s="12" t="s">
        <v>1522</v>
      </c>
      <c r="O28" s="12" t="s">
        <v>1523</v>
      </c>
      <c r="P28" s="12" t="s">
        <v>1524</v>
      </c>
      <c r="Q28" s="12" t="s">
        <v>1525</v>
      </c>
      <c r="R28" s="12" t="s">
        <v>1526</v>
      </c>
      <c r="S28" s="12" t="s">
        <v>1527</v>
      </c>
      <c r="T28" s="12" t="s">
        <v>1528</v>
      </c>
      <c r="U28" s="12" t="s">
        <v>1529</v>
      </c>
      <c r="V28" s="12" t="s">
        <v>1530</v>
      </c>
      <c r="W28" s="12" t="s">
        <v>1531</v>
      </c>
      <c r="X28" s="12" t="s">
        <v>1532</v>
      </c>
      <c r="Y28" s="12" t="s">
        <v>1533</v>
      </c>
      <c r="Z28" s="2"/>
    </row>
    <row r="29" customFormat="false" ht="42" hidden="false" customHeight="true" outlineLevel="0" collapsed="false">
      <c r="A29" s="12" t="s">
        <v>345</v>
      </c>
      <c r="B29" s="12" t="s">
        <v>346</v>
      </c>
      <c r="C29" s="20"/>
      <c r="D29" s="20"/>
      <c r="E29" s="20"/>
      <c r="F29" s="12" t="s">
        <v>1534</v>
      </c>
      <c r="G29" s="12" t="s">
        <v>1535</v>
      </c>
      <c r="H29" s="12" t="s">
        <v>1536</v>
      </c>
      <c r="I29" s="12" t="s">
        <v>1537</v>
      </c>
      <c r="J29" s="12" t="s">
        <v>1538</v>
      </c>
      <c r="K29" s="12" t="s">
        <v>1539</v>
      </c>
      <c r="L29" s="12" t="s">
        <v>1540</v>
      </c>
      <c r="M29" s="12" t="s">
        <v>1541</v>
      </c>
      <c r="N29" s="12" t="s">
        <v>1539</v>
      </c>
      <c r="O29" s="12" t="s">
        <v>1542</v>
      </c>
      <c r="P29" s="12" t="s">
        <v>1543</v>
      </c>
      <c r="Q29" s="12" t="s">
        <v>1544</v>
      </c>
      <c r="R29" s="12" t="s">
        <v>1545</v>
      </c>
      <c r="S29" s="12" t="s">
        <v>1543</v>
      </c>
      <c r="T29" s="12" t="s">
        <v>1546</v>
      </c>
      <c r="U29" s="12" t="s">
        <v>1547</v>
      </c>
      <c r="V29" s="12" t="s">
        <v>1548</v>
      </c>
      <c r="W29" s="12" t="s">
        <v>1549</v>
      </c>
      <c r="X29" s="12" t="s">
        <v>1550</v>
      </c>
      <c r="Y29" s="12" t="s">
        <v>1551</v>
      </c>
      <c r="Z29" s="2"/>
    </row>
    <row r="30" customFormat="false" ht="42" hidden="false" customHeight="true" outlineLevel="0" collapsed="false">
      <c r="A30" s="12" t="s">
        <v>355</v>
      </c>
      <c r="B30" s="12" t="s">
        <v>356</v>
      </c>
      <c r="C30" s="20"/>
      <c r="D30" s="20"/>
      <c r="E30" s="20"/>
      <c r="F30" s="12" t="s">
        <v>1552</v>
      </c>
      <c r="G30" s="12" t="s">
        <v>1553</v>
      </c>
      <c r="H30" s="12" t="s">
        <v>1554</v>
      </c>
      <c r="I30" s="12" t="s">
        <v>1555</v>
      </c>
      <c r="J30" s="12" t="s">
        <v>1554</v>
      </c>
      <c r="K30" s="12" t="s">
        <v>1556</v>
      </c>
      <c r="L30" s="12" t="s">
        <v>1556</v>
      </c>
      <c r="M30" s="12" t="s">
        <v>1556</v>
      </c>
      <c r="N30" s="12" t="s">
        <v>1556</v>
      </c>
      <c r="O30" s="12" t="s">
        <v>1556</v>
      </c>
      <c r="P30" s="12" t="s">
        <v>1557</v>
      </c>
      <c r="Q30" s="12" t="s">
        <v>1557</v>
      </c>
      <c r="R30" s="12" t="s">
        <v>1557</v>
      </c>
      <c r="S30" s="12" t="s">
        <v>1557</v>
      </c>
      <c r="T30" s="12" t="s">
        <v>1557</v>
      </c>
      <c r="U30" s="12" t="s">
        <v>1558</v>
      </c>
      <c r="V30" s="12" t="s">
        <v>1559</v>
      </c>
      <c r="W30" s="12" t="s">
        <v>1560</v>
      </c>
      <c r="X30" s="12" t="s">
        <v>1561</v>
      </c>
      <c r="Y30" s="12" t="s">
        <v>1562</v>
      </c>
      <c r="Z30" s="2"/>
    </row>
    <row r="31" customFormat="false" ht="42" hidden="false" customHeight="true" outlineLevel="0" collapsed="false">
      <c r="A31" s="12" t="s">
        <v>362</v>
      </c>
      <c r="B31" s="12" t="s">
        <v>363</v>
      </c>
      <c r="C31" s="20"/>
      <c r="D31" s="20"/>
      <c r="E31" s="20"/>
      <c r="F31" s="12" t="s">
        <v>1563</v>
      </c>
      <c r="G31" s="12" t="s">
        <v>1564</v>
      </c>
      <c r="H31" s="12" t="s">
        <v>1565</v>
      </c>
      <c r="I31" s="12" t="s">
        <v>1566</v>
      </c>
      <c r="J31" s="12" t="s">
        <v>1565</v>
      </c>
      <c r="K31" s="12" t="s">
        <v>1567</v>
      </c>
      <c r="L31" s="12" t="s">
        <v>1567</v>
      </c>
      <c r="M31" s="12" t="s">
        <v>1567</v>
      </c>
      <c r="N31" s="12" t="s">
        <v>1567</v>
      </c>
      <c r="O31" s="12" t="s">
        <v>1567</v>
      </c>
      <c r="P31" s="12" t="s">
        <v>1568</v>
      </c>
      <c r="Q31" s="12" t="s">
        <v>1568</v>
      </c>
      <c r="R31" s="12" t="s">
        <v>1568</v>
      </c>
      <c r="S31" s="12" t="s">
        <v>1568</v>
      </c>
      <c r="T31" s="12" t="s">
        <v>1568</v>
      </c>
      <c r="U31" s="12" t="s">
        <v>1569</v>
      </c>
      <c r="V31" s="12" t="s">
        <v>1570</v>
      </c>
      <c r="W31" s="12" t="s">
        <v>1571</v>
      </c>
      <c r="X31" s="12" t="s">
        <v>1572</v>
      </c>
      <c r="Y31" s="12" t="s">
        <v>1573</v>
      </c>
      <c r="Z31" s="2"/>
    </row>
    <row r="32" customFormat="false" ht="42" hidden="false" customHeight="true" outlineLevel="0" collapsed="false">
      <c r="A32" s="12" t="s">
        <v>369</v>
      </c>
      <c r="B32" s="12" t="s">
        <v>370</v>
      </c>
      <c r="C32" s="20"/>
      <c r="D32" s="20"/>
      <c r="E32" s="20"/>
      <c r="F32" s="12" t="s">
        <v>1574</v>
      </c>
      <c r="G32" s="12" t="s">
        <v>1575</v>
      </c>
      <c r="H32" s="12" t="s">
        <v>1576</v>
      </c>
      <c r="I32" s="12" t="s">
        <v>1577</v>
      </c>
      <c r="J32" s="12" t="s">
        <v>1578</v>
      </c>
      <c r="K32" s="12" t="s">
        <v>1579</v>
      </c>
      <c r="L32" s="12" t="s">
        <v>1580</v>
      </c>
      <c r="M32" s="12" t="s">
        <v>1580</v>
      </c>
      <c r="N32" s="12" t="s">
        <v>1581</v>
      </c>
      <c r="O32" s="12" t="s">
        <v>1581</v>
      </c>
      <c r="P32" s="12" t="s">
        <v>1582</v>
      </c>
      <c r="Q32" s="12" t="s">
        <v>1583</v>
      </c>
      <c r="R32" s="12" t="s">
        <v>1583</v>
      </c>
      <c r="S32" s="12" t="s">
        <v>1584</v>
      </c>
      <c r="T32" s="12" t="s">
        <v>1584</v>
      </c>
      <c r="U32" s="12" t="s">
        <v>1585</v>
      </c>
      <c r="V32" s="12" t="s">
        <v>1586</v>
      </c>
      <c r="W32" s="12" t="s">
        <v>1587</v>
      </c>
      <c r="X32" s="12" t="s">
        <v>1588</v>
      </c>
      <c r="Y32" s="12" t="s">
        <v>1589</v>
      </c>
      <c r="Z32" s="2"/>
    </row>
    <row r="33" customFormat="false" ht="42" hidden="false" customHeight="true" outlineLevel="0" collapsed="false">
      <c r="A33" s="12" t="s">
        <v>378</v>
      </c>
      <c r="B33" s="12" t="s">
        <v>379</v>
      </c>
      <c r="C33" s="20"/>
      <c r="D33" s="20"/>
      <c r="E33" s="20"/>
      <c r="F33" s="12" t="s">
        <v>1590</v>
      </c>
      <c r="G33" s="12" t="s">
        <v>1591</v>
      </c>
      <c r="H33" s="12" t="s">
        <v>1592</v>
      </c>
      <c r="I33" s="12" t="s">
        <v>1593</v>
      </c>
      <c r="J33" s="12" t="s">
        <v>1592</v>
      </c>
      <c r="K33" s="12" t="s">
        <v>1594</v>
      </c>
      <c r="L33" s="12" t="s">
        <v>1595</v>
      </c>
      <c r="M33" s="12" t="s">
        <v>1594</v>
      </c>
      <c r="N33" s="12" t="s">
        <v>1596</v>
      </c>
      <c r="O33" s="12" t="s">
        <v>1594</v>
      </c>
      <c r="P33" s="12" t="s">
        <v>1597</v>
      </c>
      <c r="Q33" s="12" t="s">
        <v>1598</v>
      </c>
      <c r="R33" s="12" t="s">
        <v>1597</v>
      </c>
      <c r="S33" s="12" t="s">
        <v>1599</v>
      </c>
      <c r="T33" s="12" t="s">
        <v>1597</v>
      </c>
      <c r="U33" s="12" t="s">
        <v>1600</v>
      </c>
      <c r="V33" s="12" t="s">
        <v>1601</v>
      </c>
      <c r="W33" s="12" t="s">
        <v>1602</v>
      </c>
      <c r="X33" s="12" t="s">
        <v>1603</v>
      </c>
      <c r="Y33" s="12" t="s">
        <v>1604</v>
      </c>
      <c r="Z33" s="2"/>
    </row>
    <row r="34" customFormat="false" ht="42" hidden="false" customHeight="true" outlineLevel="0" collapsed="false">
      <c r="A34" s="12" t="s">
        <v>387</v>
      </c>
      <c r="B34" s="12" t="s">
        <v>388</v>
      </c>
      <c r="C34" s="20"/>
      <c r="D34" s="20"/>
      <c r="E34" s="20"/>
      <c r="F34" s="12" t="s">
        <v>1605</v>
      </c>
      <c r="G34" s="12" t="s">
        <v>1606</v>
      </c>
      <c r="H34" s="12" t="s">
        <v>1607</v>
      </c>
      <c r="I34" s="12" t="s">
        <v>1608</v>
      </c>
      <c r="J34" s="12" t="s">
        <v>1607</v>
      </c>
      <c r="K34" s="12" t="s">
        <v>1609</v>
      </c>
      <c r="L34" s="12" t="s">
        <v>1609</v>
      </c>
      <c r="M34" s="12" t="s">
        <v>1609</v>
      </c>
      <c r="N34" s="12" t="s">
        <v>1610</v>
      </c>
      <c r="O34" s="12" t="s">
        <v>1609</v>
      </c>
      <c r="P34" s="12" t="s">
        <v>1611</v>
      </c>
      <c r="Q34" s="12" t="s">
        <v>1612</v>
      </c>
      <c r="R34" s="12" t="s">
        <v>1611</v>
      </c>
      <c r="S34" s="12" t="s">
        <v>1613</v>
      </c>
      <c r="T34" s="12" t="s">
        <v>1611</v>
      </c>
      <c r="U34" s="12" t="s">
        <v>1614</v>
      </c>
      <c r="V34" s="12" t="s">
        <v>1615</v>
      </c>
      <c r="W34" s="12" t="s">
        <v>1616</v>
      </c>
      <c r="X34" s="12" t="s">
        <v>1617</v>
      </c>
      <c r="Y34" s="12" t="s">
        <v>1618</v>
      </c>
      <c r="Z34" s="2"/>
    </row>
    <row r="35" customFormat="false" ht="42" hidden="false" customHeight="true" outlineLevel="0" collapsed="false">
      <c r="A35" s="12" t="s">
        <v>396</v>
      </c>
      <c r="B35" s="12" t="s">
        <v>397</v>
      </c>
      <c r="C35" s="20"/>
      <c r="D35" s="20"/>
      <c r="E35" s="20"/>
      <c r="F35" s="12" t="s">
        <v>1619</v>
      </c>
      <c r="G35" s="12" t="s">
        <v>1620</v>
      </c>
      <c r="H35" s="12" t="s">
        <v>1621</v>
      </c>
      <c r="I35" s="12" t="s">
        <v>1622</v>
      </c>
      <c r="J35" s="12" t="s">
        <v>1623</v>
      </c>
      <c r="K35" s="12" t="s">
        <v>1624</v>
      </c>
      <c r="L35" s="12" t="s">
        <v>1625</v>
      </c>
      <c r="M35" s="12" t="s">
        <v>1626</v>
      </c>
      <c r="N35" s="12" t="s">
        <v>1627</v>
      </c>
      <c r="O35" s="12" t="s">
        <v>1628</v>
      </c>
      <c r="P35" s="12" t="s">
        <v>1629</v>
      </c>
      <c r="Q35" s="12" t="s">
        <v>1630</v>
      </c>
      <c r="R35" s="12" t="s">
        <v>1631</v>
      </c>
      <c r="S35" s="12" t="s">
        <v>1632</v>
      </c>
      <c r="T35" s="12" t="s">
        <v>1633</v>
      </c>
      <c r="U35" s="12" t="s">
        <v>1634</v>
      </c>
      <c r="V35" s="12" t="s">
        <v>1635</v>
      </c>
      <c r="W35" s="12" t="s">
        <v>1636</v>
      </c>
      <c r="X35" s="12" t="s">
        <v>1637</v>
      </c>
      <c r="Y35" s="12" t="s">
        <v>1638</v>
      </c>
      <c r="Z35" s="2"/>
    </row>
    <row r="36" customFormat="false" ht="42" hidden="false" customHeight="true" outlineLevel="0" collapsed="false">
      <c r="A36" s="12" t="s">
        <v>407</v>
      </c>
      <c r="B36" s="12" t="s">
        <v>408</v>
      </c>
      <c r="C36" s="20"/>
      <c r="D36" s="20"/>
      <c r="E36" s="20"/>
      <c r="F36" s="12" t="s">
        <v>1639</v>
      </c>
      <c r="G36" s="12" t="s">
        <v>1640</v>
      </c>
      <c r="H36" s="12" t="s">
        <v>1641</v>
      </c>
      <c r="I36" s="12" t="s">
        <v>1642</v>
      </c>
      <c r="J36" s="12" t="s">
        <v>1643</v>
      </c>
      <c r="K36" s="12" t="s">
        <v>1644</v>
      </c>
      <c r="L36" s="12" t="s">
        <v>1645</v>
      </c>
      <c r="M36" s="12" t="s">
        <v>1646</v>
      </c>
      <c r="N36" s="12" t="s">
        <v>1647</v>
      </c>
      <c r="O36" s="12" t="s">
        <v>1648</v>
      </c>
      <c r="P36" s="12" t="s">
        <v>1649</v>
      </c>
      <c r="Q36" s="12" t="s">
        <v>1650</v>
      </c>
      <c r="R36" s="12" t="s">
        <v>1651</v>
      </c>
      <c r="S36" s="12" t="s">
        <v>1652</v>
      </c>
      <c r="T36" s="12" t="s">
        <v>1653</v>
      </c>
      <c r="U36" s="12" t="s">
        <v>1654</v>
      </c>
      <c r="V36" s="12" t="s">
        <v>1655</v>
      </c>
      <c r="W36" s="12" t="s">
        <v>1656</v>
      </c>
      <c r="X36" s="12" t="s">
        <v>1657</v>
      </c>
      <c r="Y36" s="12" t="s">
        <v>1658</v>
      </c>
      <c r="Z36" s="2"/>
    </row>
    <row r="37" customFormat="false" ht="42" hidden="false" customHeight="true" outlineLevel="0" collapsed="false">
      <c r="A37" s="12" t="s">
        <v>418</v>
      </c>
      <c r="B37" s="12" t="s">
        <v>419</v>
      </c>
      <c r="C37" s="20"/>
      <c r="D37" s="20"/>
      <c r="E37" s="20"/>
      <c r="F37" s="12" t="s">
        <v>1659</v>
      </c>
      <c r="G37" s="12" t="s">
        <v>1660</v>
      </c>
      <c r="H37" s="12" t="s">
        <v>1661</v>
      </c>
      <c r="I37" s="12" t="s">
        <v>1662</v>
      </c>
      <c r="J37" s="12" t="s">
        <v>1663</v>
      </c>
      <c r="K37" s="12" t="s">
        <v>1664</v>
      </c>
      <c r="L37" s="12" t="s">
        <v>1665</v>
      </c>
      <c r="M37" s="12" t="s">
        <v>1666</v>
      </c>
      <c r="N37" s="12" t="s">
        <v>1667</v>
      </c>
      <c r="O37" s="12" t="s">
        <v>1668</v>
      </c>
      <c r="P37" s="12" t="s">
        <v>1669</v>
      </c>
      <c r="Q37" s="12" t="s">
        <v>1670</v>
      </c>
      <c r="R37" s="12" t="s">
        <v>1671</v>
      </c>
      <c r="S37" s="12" t="s">
        <v>1672</v>
      </c>
      <c r="T37" s="12" t="s">
        <v>1673</v>
      </c>
      <c r="U37" s="12" t="s">
        <v>1674</v>
      </c>
      <c r="V37" s="12" t="s">
        <v>1675</v>
      </c>
      <c r="W37" s="12" t="s">
        <v>1676</v>
      </c>
      <c r="X37" s="12" t="s">
        <v>1677</v>
      </c>
      <c r="Y37" s="12" t="s">
        <v>1678</v>
      </c>
      <c r="Z37" s="2"/>
    </row>
    <row r="38" customFormat="false" ht="42" hidden="false" customHeight="true" outlineLevel="0" collapsed="false">
      <c r="A38" s="12" t="s">
        <v>429</v>
      </c>
      <c r="B38" s="12" t="s">
        <v>430</v>
      </c>
      <c r="C38" s="20"/>
      <c r="D38" s="20"/>
      <c r="E38" s="20"/>
      <c r="F38" s="12" t="s">
        <v>1679</v>
      </c>
      <c r="G38" s="12" t="s">
        <v>1680</v>
      </c>
      <c r="H38" s="12" t="s">
        <v>1681</v>
      </c>
      <c r="I38" s="12" t="s">
        <v>1682</v>
      </c>
      <c r="J38" s="12" t="s">
        <v>1683</v>
      </c>
      <c r="K38" s="12" t="s">
        <v>1684</v>
      </c>
      <c r="L38" s="12" t="s">
        <v>1685</v>
      </c>
      <c r="M38" s="12" t="s">
        <v>1684</v>
      </c>
      <c r="N38" s="12" t="s">
        <v>1686</v>
      </c>
      <c r="O38" s="12" t="s">
        <v>1687</v>
      </c>
      <c r="P38" s="12" t="s">
        <v>1688</v>
      </c>
      <c r="Q38" s="12" t="s">
        <v>1689</v>
      </c>
      <c r="R38" s="12" t="s">
        <v>1688</v>
      </c>
      <c r="S38" s="12" t="s">
        <v>1690</v>
      </c>
      <c r="T38" s="12" t="s">
        <v>1691</v>
      </c>
      <c r="U38" s="12" t="s">
        <v>1692</v>
      </c>
      <c r="V38" s="12" t="s">
        <v>1693</v>
      </c>
      <c r="W38" s="12" t="s">
        <v>1694</v>
      </c>
      <c r="X38" s="12" t="s">
        <v>1695</v>
      </c>
      <c r="Y38" s="12" t="s">
        <v>1696</v>
      </c>
      <c r="Z38" s="2"/>
    </row>
    <row r="39" customFormat="false" ht="42" hidden="false" customHeight="true" outlineLevel="0" collapsed="false">
      <c r="A39" s="12" t="s">
        <v>439</v>
      </c>
      <c r="B39" s="12" t="s">
        <v>440</v>
      </c>
      <c r="C39" s="20"/>
      <c r="D39" s="20"/>
      <c r="E39" s="20"/>
      <c r="F39" s="12" t="s">
        <v>1697</v>
      </c>
      <c r="G39" s="12" t="s">
        <v>1698</v>
      </c>
      <c r="H39" s="12" t="s">
        <v>1699</v>
      </c>
      <c r="I39" s="12" t="s">
        <v>1700</v>
      </c>
      <c r="J39" s="12" t="s">
        <v>1701</v>
      </c>
      <c r="K39" s="12" t="s">
        <v>1702</v>
      </c>
      <c r="L39" s="12" t="s">
        <v>1703</v>
      </c>
      <c r="M39" s="12" t="s">
        <v>1704</v>
      </c>
      <c r="N39" s="12" t="s">
        <v>1705</v>
      </c>
      <c r="O39" s="12" t="s">
        <v>1706</v>
      </c>
      <c r="P39" s="12" t="s">
        <v>1707</v>
      </c>
      <c r="Q39" s="12" t="s">
        <v>1708</v>
      </c>
      <c r="R39" s="12" t="s">
        <v>1709</v>
      </c>
      <c r="S39" s="12" t="s">
        <v>1710</v>
      </c>
      <c r="T39" s="12" t="s">
        <v>1711</v>
      </c>
      <c r="U39" s="12" t="s">
        <v>1712</v>
      </c>
      <c r="V39" s="12" t="s">
        <v>1713</v>
      </c>
      <c r="W39" s="12" t="s">
        <v>1714</v>
      </c>
      <c r="X39" s="12" t="s">
        <v>1715</v>
      </c>
      <c r="Y39" s="12" t="s">
        <v>1716</v>
      </c>
      <c r="Z39" s="2"/>
    </row>
    <row r="40" customFormat="false" ht="42" hidden="false" customHeight="true" outlineLevel="0" collapsed="false">
      <c r="A40" s="12" t="s">
        <v>450</v>
      </c>
      <c r="B40" s="12" t="s">
        <v>451</v>
      </c>
      <c r="C40" s="20"/>
      <c r="D40" s="20"/>
      <c r="E40" s="20"/>
      <c r="F40" s="12" t="s">
        <v>1717</v>
      </c>
      <c r="G40" s="12" t="s">
        <v>1718</v>
      </c>
      <c r="H40" s="12" t="s">
        <v>1719</v>
      </c>
      <c r="I40" s="12" t="s">
        <v>1720</v>
      </c>
      <c r="J40" s="12" t="s">
        <v>1721</v>
      </c>
      <c r="K40" s="12" t="s">
        <v>1722</v>
      </c>
      <c r="L40" s="12" t="s">
        <v>1723</v>
      </c>
      <c r="M40" s="12" t="s">
        <v>1724</v>
      </c>
      <c r="N40" s="12" t="s">
        <v>1725</v>
      </c>
      <c r="O40" s="12" t="s">
        <v>1726</v>
      </c>
      <c r="P40" s="12" t="s">
        <v>1727</v>
      </c>
      <c r="Q40" s="12" t="s">
        <v>1728</v>
      </c>
      <c r="R40" s="12" t="s">
        <v>1729</v>
      </c>
      <c r="S40" s="12" t="s">
        <v>1730</v>
      </c>
      <c r="T40" s="12" t="s">
        <v>1731</v>
      </c>
      <c r="U40" s="12" t="s">
        <v>1732</v>
      </c>
      <c r="V40" s="12" t="s">
        <v>1733</v>
      </c>
      <c r="W40" s="12" t="s">
        <v>1734</v>
      </c>
      <c r="X40" s="12" t="s">
        <v>1735</v>
      </c>
      <c r="Y40" s="12" t="s">
        <v>1736</v>
      </c>
      <c r="Z40" s="2"/>
    </row>
    <row r="41" customFormat="false" ht="42" hidden="false" customHeight="true" outlineLevel="0" collapsed="false">
      <c r="A41" s="12" t="s">
        <v>461</v>
      </c>
      <c r="B41" s="12" t="s">
        <v>462</v>
      </c>
      <c r="C41" s="20"/>
      <c r="D41" s="20"/>
      <c r="E41" s="20"/>
      <c r="F41" s="12" t="s">
        <v>1737</v>
      </c>
      <c r="G41" s="12" t="s">
        <v>1738</v>
      </c>
      <c r="H41" s="12" t="s">
        <v>1739</v>
      </c>
      <c r="I41" s="12" t="s">
        <v>1740</v>
      </c>
      <c r="J41" s="12" t="s">
        <v>1741</v>
      </c>
      <c r="K41" s="12" t="s">
        <v>1742</v>
      </c>
      <c r="L41" s="12" t="s">
        <v>1743</v>
      </c>
      <c r="M41" s="12" t="s">
        <v>1744</v>
      </c>
      <c r="N41" s="12" t="s">
        <v>1744</v>
      </c>
      <c r="O41" s="12" t="s">
        <v>1745</v>
      </c>
      <c r="P41" s="12" t="s">
        <v>1746</v>
      </c>
      <c r="Q41" s="12" t="s">
        <v>1747</v>
      </c>
      <c r="R41" s="12" t="s">
        <v>1748</v>
      </c>
      <c r="S41" s="12" t="s">
        <v>1748</v>
      </c>
      <c r="T41" s="12" t="s">
        <v>1749</v>
      </c>
      <c r="U41" s="12" t="s">
        <v>1750</v>
      </c>
      <c r="V41" s="12" t="s">
        <v>1751</v>
      </c>
      <c r="W41" s="12" t="s">
        <v>1752</v>
      </c>
      <c r="X41" s="12" t="s">
        <v>1753</v>
      </c>
      <c r="Y41" s="12" t="s">
        <v>1754</v>
      </c>
      <c r="Z41" s="2"/>
    </row>
    <row r="42" customFormat="false" ht="42" hidden="false" customHeight="true" outlineLevel="0" collapsed="false">
      <c r="A42" s="12" t="s">
        <v>471</v>
      </c>
      <c r="B42" s="12" t="s">
        <v>472</v>
      </c>
      <c r="C42" s="20"/>
      <c r="D42" s="20"/>
      <c r="E42" s="20"/>
      <c r="F42" s="12" t="s">
        <v>1755</v>
      </c>
      <c r="G42" s="12" t="s">
        <v>1756</v>
      </c>
      <c r="H42" s="12" t="s">
        <v>1757</v>
      </c>
      <c r="I42" s="12" t="s">
        <v>1758</v>
      </c>
      <c r="J42" s="12" t="s">
        <v>1759</v>
      </c>
      <c r="K42" s="12" t="s">
        <v>1760</v>
      </c>
      <c r="L42" s="12" t="s">
        <v>1761</v>
      </c>
      <c r="M42" s="12" t="s">
        <v>1762</v>
      </c>
      <c r="N42" s="12" t="s">
        <v>1763</v>
      </c>
      <c r="O42" s="12" t="s">
        <v>1764</v>
      </c>
      <c r="P42" s="12" t="s">
        <v>1765</v>
      </c>
      <c r="Q42" s="12" t="s">
        <v>1766</v>
      </c>
      <c r="R42" s="12" t="s">
        <v>1767</v>
      </c>
      <c r="S42" s="12" t="s">
        <v>1768</v>
      </c>
      <c r="T42" s="12" t="s">
        <v>1769</v>
      </c>
      <c r="U42" s="12" t="s">
        <v>1770</v>
      </c>
      <c r="V42" s="12" t="s">
        <v>1771</v>
      </c>
      <c r="W42" s="12" t="s">
        <v>1772</v>
      </c>
      <c r="X42" s="12" t="s">
        <v>1773</v>
      </c>
      <c r="Y42" s="12" t="s">
        <v>1774</v>
      </c>
      <c r="Z42" s="2"/>
    </row>
    <row r="43" customFormat="false" ht="42" hidden="false" customHeight="true" outlineLevel="0" collapsed="false">
      <c r="A43" s="12" t="s">
        <v>482</v>
      </c>
      <c r="B43" s="12" t="s">
        <v>483</v>
      </c>
      <c r="C43" s="20"/>
      <c r="D43" s="20"/>
      <c r="E43" s="20"/>
      <c r="F43" s="12" t="s">
        <v>1775</v>
      </c>
      <c r="G43" s="12" t="s">
        <v>1776</v>
      </c>
      <c r="H43" s="12" t="s">
        <v>1777</v>
      </c>
      <c r="I43" s="12" t="s">
        <v>1778</v>
      </c>
      <c r="J43" s="12" t="s">
        <v>1779</v>
      </c>
      <c r="K43" s="12" t="s">
        <v>1780</v>
      </c>
      <c r="L43" s="12" t="s">
        <v>1781</v>
      </c>
      <c r="M43" s="12" t="s">
        <v>1782</v>
      </c>
      <c r="N43" s="12" t="s">
        <v>1783</v>
      </c>
      <c r="O43" s="12" t="s">
        <v>1784</v>
      </c>
      <c r="P43" s="12" t="s">
        <v>1785</v>
      </c>
      <c r="Q43" s="12" t="s">
        <v>1786</v>
      </c>
      <c r="R43" s="12" t="s">
        <v>1787</v>
      </c>
      <c r="S43" s="12" t="s">
        <v>1788</v>
      </c>
      <c r="T43" s="12" t="s">
        <v>1789</v>
      </c>
      <c r="U43" s="12" t="s">
        <v>1790</v>
      </c>
      <c r="V43" s="12" t="s">
        <v>1791</v>
      </c>
      <c r="W43" s="12" t="s">
        <v>1792</v>
      </c>
      <c r="X43" s="12" t="s">
        <v>1793</v>
      </c>
      <c r="Y43" s="12" t="s">
        <v>1794</v>
      </c>
      <c r="Z43" s="2"/>
    </row>
    <row r="44" customFormat="false" ht="42" hidden="false" customHeight="true" outlineLevel="0" collapsed="false">
      <c r="A44" s="12" t="s">
        <v>493</v>
      </c>
      <c r="B44" s="12" t="s">
        <v>494</v>
      </c>
      <c r="C44" s="20"/>
      <c r="D44" s="20"/>
      <c r="E44" s="20"/>
      <c r="F44" s="12" t="s">
        <v>1795</v>
      </c>
      <c r="G44" s="12" t="s">
        <v>1796</v>
      </c>
      <c r="H44" s="12" t="s">
        <v>1797</v>
      </c>
      <c r="I44" s="12" t="s">
        <v>1798</v>
      </c>
      <c r="J44" s="12" t="s">
        <v>1799</v>
      </c>
      <c r="K44" s="12" t="s">
        <v>1800</v>
      </c>
      <c r="L44" s="12" t="s">
        <v>1801</v>
      </c>
      <c r="M44" s="12" t="s">
        <v>1802</v>
      </c>
      <c r="N44" s="12" t="s">
        <v>1803</v>
      </c>
      <c r="O44" s="12" t="s">
        <v>1804</v>
      </c>
      <c r="P44" s="12" t="s">
        <v>1805</v>
      </c>
      <c r="Q44" s="12" t="s">
        <v>1806</v>
      </c>
      <c r="R44" s="12" t="s">
        <v>1807</v>
      </c>
      <c r="S44" s="12" t="s">
        <v>1808</v>
      </c>
      <c r="T44" s="12" t="s">
        <v>1809</v>
      </c>
      <c r="U44" s="12" t="s">
        <v>1810</v>
      </c>
      <c r="V44" s="12" t="s">
        <v>1811</v>
      </c>
      <c r="W44" s="12" t="s">
        <v>1812</v>
      </c>
      <c r="X44" s="12" t="s">
        <v>1813</v>
      </c>
      <c r="Y44" s="12" t="s">
        <v>1814</v>
      </c>
      <c r="Z44" s="2"/>
    </row>
    <row r="45" customFormat="false" ht="42" hidden="false" customHeight="true" outlineLevel="0" collapsed="false">
      <c r="A45" s="12" t="s">
        <v>504</v>
      </c>
      <c r="B45" s="12" t="s">
        <v>505</v>
      </c>
      <c r="C45" s="20"/>
      <c r="D45" s="20"/>
      <c r="E45" s="20"/>
      <c r="F45" s="12" t="s">
        <v>1815</v>
      </c>
      <c r="G45" s="12" t="s">
        <v>1816</v>
      </c>
      <c r="H45" s="12" t="s">
        <v>1817</v>
      </c>
      <c r="I45" s="12" t="s">
        <v>1818</v>
      </c>
      <c r="J45" s="12" t="s">
        <v>1819</v>
      </c>
      <c r="K45" s="12" t="s">
        <v>1820</v>
      </c>
      <c r="L45" s="12" t="s">
        <v>1821</v>
      </c>
      <c r="M45" s="12" t="s">
        <v>1822</v>
      </c>
      <c r="N45" s="12" t="s">
        <v>1823</v>
      </c>
      <c r="O45" s="12" t="s">
        <v>1824</v>
      </c>
      <c r="P45" s="12" t="s">
        <v>1825</v>
      </c>
      <c r="Q45" s="12" t="s">
        <v>1826</v>
      </c>
      <c r="R45" s="12" t="s">
        <v>1827</v>
      </c>
      <c r="S45" s="12" t="s">
        <v>1828</v>
      </c>
      <c r="T45" s="12" t="s">
        <v>1829</v>
      </c>
      <c r="U45" s="12" t="s">
        <v>1830</v>
      </c>
      <c r="V45" s="12" t="s">
        <v>1831</v>
      </c>
      <c r="W45" s="12" t="s">
        <v>1832</v>
      </c>
      <c r="X45" s="12" t="s">
        <v>1833</v>
      </c>
      <c r="Y45" s="12" t="s">
        <v>1834</v>
      </c>
      <c r="Z45" s="2"/>
    </row>
    <row r="46" customFormat="false" ht="42" hidden="false" customHeight="true" outlineLevel="0" collapsed="false">
      <c r="A46" s="12" t="s">
        <v>515</v>
      </c>
      <c r="B46" s="12" t="s">
        <v>516</v>
      </c>
      <c r="C46" s="20"/>
      <c r="D46" s="20"/>
      <c r="E46" s="20"/>
      <c r="F46" s="12" t="s">
        <v>1835</v>
      </c>
      <c r="G46" s="12" t="s">
        <v>1836</v>
      </c>
      <c r="H46" s="12" t="s">
        <v>1837</v>
      </c>
      <c r="I46" s="12" t="s">
        <v>1838</v>
      </c>
      <c r="J46" s="12" t="s">
        <v>1839</v>
      </c>
      <c r="K46" s="12" t="s">
        <v>1840</v>
      </c>
      <c r="L46" s="12" t="s">
        <v>1841</v>
      </c>
      <c r="M46" s="12" t="s">
        <v>1842</v>
      </c>
      <c r="N46" s="12" t="s">
        <v>1843</v>
      </c>
      <c r="O46" s="12" t="s">
        <v>1844</v>
      </c>
      <c r="P46" s="12" t="s">
        <v>1845</v>
      </c>
      <c r="Q46" s="12" t="s">
        <v>1846</v>
      </c>
      <c r="R46" s="12" t="s">
        <v>1847</v>
      </c>
      <c r="S46" s="12" t="s">
        <v>1848</v>
      </c>
      <c r="T46" s="12" t="s">
        <v>1849</v>
      </c>
      <c r="U46" s="12" t="s">
        <v>1850</v>
      </c>
      <c r="V46" s="12" t="s">
        <v>1851</v>
      </c>
      <c r="W46" s="12" t="s">
        <v>1852</v>
      </c>
      <c r="X46" s="12" t="s">
        <v>1853</v>
      </c>
      <c r="Y46" s="12" t="s">
        <v>1854</v>
      </c>
      <c r="Z46" s="2"/>
    </row>
    <row r="47" customFormat="false" ht="42" hidden="false" customHeight="true" outlineLevel="0" collapsed="false">
      <c r="A47" s="12" t="s">
        <v>526</v>
      </c>
      <c r="B47" s="12" t="s">
        <v>527</v>
      </c>
      <c r="C47" s="20"/>
      <c r="D47" s="20"/>
      <c r="E47" s="20"/>
      <c r="F47" s="12" t="s">
        <v>1855</v>
      </c>
      <c r="G47" s="12" t="s">
        <v>1856</v>
      </c>
      <c r="H47" s="12" t="s">
        <v>1857</v>
      </c>
      <c r="I47" s="12" t="s">
        <v>1858</v>
      </c>
      <c r="J47" s="12" t="s">
        <v>1859</v>
      </c>
      <c r="K47" s="12" t="s">
        <v>1860</v>
      </c>
      <c r="L47" s="12" t="s">
        <v>1861</v>
      </c>
      <c r="M47" s="12" t="s">
        <v>1862</v>
      </c>
      <c r="N47" s="12" t="s">
        <v>1863</v>
      </c>
      <c r="O47" s="12" t="s">
        <v>1864</v>
      </c>
      <c r="P47" s="12" t="s">
        <v>1865</v>
      </c>
      <c r="Q47" s="12" t="s">
        <v>1866</v>
      </c>
      <c r="R47" s="12" t="s">
        <v>1867</v>
      </c>
      <c r="S47" s="12" t="s">
        <v>1868</v>
      </c>
      <c r="T47" s="12" t="s">
        <v>1869</v>
      </c>
      <c r="U47" s="12" t="s">
        <v>1870</v>
      </c>
      <c r="V47" s="12" t="s">
        <v>1871</v>
      </c>
      <c r="W47" s="12" t="s">
        <v>1872</v>
      </c>
      <c r="X47" s="12" t="s">
        <v>1873</v>
      </c>
      <c r="Y47" s="12" t="s">
        <v>1874</v>
      </c>
      <c r="Z47" s="2"/>
    </row>
    <row r="48" customFormat="false" ht="42" hidden="false" customHeight="true" outlineLevel="0" collapsed="false">
      <c r="A48" s="12" t="s">
        <v>537</v>
      </c>
      <c r="B48" s="12" t="s">
        <v>538</v>
      </c>
      <c r="C48" s="20"/>
      <c r="D48" s="20"/>
      <c r="E48" s="20"/>
      <c r="F48" s="12" t="s">
        <v>1875</v>
      </c>
      <c r="G48" s="12" t="s">
        <v>1876</v>
      </c>
      <c r="H48" s="12" t="s">
        <v>1877</v>
      </c>
      <c r="I48" s="12" t="s">
        <v>1878</v>
      </c>
      <c r="J48" s="12" t="s">
        <v>1879</v>
      </c>
      <c r="K48" s="12" t="s">
        <v>1880</v>
      </c>
      <c r="L48" s="12" t="s">
        <v>1881</v>
      </c>
      <c r="M48" s="12" t="s">
        <v>1882</v>
      </c>
      <c r="N48" s="12" t="s">
        <v>1883</v>
      </c>
      <c r="O48" s="12" t="s">
        <v>1884</v>
      </c>
      <c r="P48" s="12" t="s">
        <v>1885</v>
      </c>
      <c r="Q48" s="12" t="s">
        <v>1886</v>
      </c>
      <c r="R48" s="12" t="s">
        <v>1887</v>
      </c>
      <c r="S48" s="12" t="s">
        <v>1888</v>
      </c>
      <c r="T48" s="12" t="s">
        <v>1889</v>
      </c>
      <c r="U48" s="12" t="s">
        <v>1890</v>
      </c>
      <c r="V48" s="12" t="s">
        <v>1891</v>
      </c>
      <c r="W48" s="12" t="s">
        <v>1892</v>
      </c>
      <c r="X48" s="12" t="s">
        <v>1893</v>
      </c>
      <c r="Y48" s="12" t="s">
        <v>1894</v>
      </c>
      <c r="Z48" s="2"/>
    </row>
    <row r="49" customFormat="false" ht="42" hidden="false" customHeight="true" outlineLevel="0" collapsed="false">
      <c r="A49" s="12" t="s">
        <v>548</v>
      </c>
      <c r="B49" s="12" t="s">
        <v>549</v>
      </c>
      <c r="C49" s="20"/>
      <c r="D49" s="20"/>
      <c r="E49" s="20"/>
      <c r="F49" s="12" t="s">
        <v>1895</v>
      </c>
      <c r="G49" s="12" t="s">
        <v>1896</v>
      </c>
      <c r="H49" s="12" t="s">
        <v>1897</v>
      </c>
      <c r="I49" s="12" t="s">
        <v>1898</v>
      </c>
      <c r="J49" s="12" t="s">
        <v>1899</v>
      </c>
      <c r="K49" s="12" t="s">
        <v>1900</v>
      </c>
      <c r="L49" s="12" t="s">
        <v>1901</v>
      </c>
      <c r="M49" s="12" t="s">
        <v>1902</v>
      </c>
      <c r="N49" s="12" t="s">
        <v>1903</v>
      </c>
      <c r="O49" s="12" t="s">
        <v>1904</v>
      </c>
      <c r="P49" s="12" t="s">
        <v>1905</v>
      </c>
      <c r="Q49" s="12" t="s">
        <v>1906</v>
      </c>
      <c r="R49" s="12" t="s">
        <v>1907</v>
      </c>
      <c r="S49" s="12" t="s">
        <v>1908</v>
      </c>
      <c r="T49" s="12" t="s">
        <v>1909</v>
      </c>
      <c r="U49" s="12" t="s">
        <v>1910</v>
      </c>
      <c r="V49" s="12" t="s">
        <v>1911</v>
      </c>
      <c r="W49" s="12" t="s">
        <v>1912</v>
      </c>
      <c r="X49" s="12" t="s">
        <v>1913</v>
      </c>
      <c r="Y49" s="12" t="s">
        <v>1914</v>
      </c>
      <c r="Z49" s="2"/>
    </row>
    <row r="50" customFormat="false" ht="42" hidden="false" customHeight="true" outlineLevel="0" collapsed="false">
      <c r="A50" s="12" t="s">
        <v>559</v>
      </c>
      <c r="B50" s="12" t="s">
        <v>560</v>
      </c>
      <c r="C50" s="20"/>
      <c r="D50" s="20"/>
      <c r="E50" s="20"/>
      <c r="F50" s="12" t="s">
        <v>1915</v>
      </c>
      <c r="G50" s="12" t="s">
        <v>1916</v>
      </c>
      <c r="H50" s="12" t="s">
        <v>1917</v>
      </c>
      <c r="I50" s="12" t="s">
        <v>1918</v>
      </c>
      <c r="J50" s="12" t="s">
        <v>1919</v>
      </c>
      <c r="K50" s="12" t="s">
        <v>1920</v>
      </c>
      <c r="L50" s="12" t="s">
        <v>1921</v>
      </c>
      <c r="M50" s="12" t="s">
        <v>1922</v>
      </c>
      <c r="N50" s="12" t="s">
        <v>1923</v>
      </c>
      <c r="O50" s="12" t="s">
        <v>1924</v>
      </c>
      <c r="P50" s="12" t="s">
        <v>1925</v>
      </c>
      <c r="Q50" s="12" t="s">
        <v>1926</v>
      </c>
      <c r="R50" s="12" t="s">
        <v>1927</v>
      </c>
      <c r="S50" s="12" t="s">
        <v>1928</v>
      </c>
      <c r="T50" s="12" t="s">
        <v>1929</v>
      </c>
      <c r="U50" s="12" t="s">
        <v>1930</v>
      </c>
      <c r="V50" s="12" t="s">
        <v>1931</v>
      </c>
      <c r="W50" s="12" t="s">
        <v>1932</v>
      </c>
      <c r="X50" s="12" t="s">
        <v>1933</v>
      </c>
      <c r="Y50" s="12" t="s">
        <v>1934</v>
      </c>
      <c r="Z50" s="2"/>
    </row>
    <row r="51" customFormat="false" ht="42" hidden="false" customHeight="true" outlineLevel="0" collapsed="false">
      <c r="A51" s="12" t="s">
        <v>570</v>
      </c>
      <c r="B51" s="12" t="s">
        <v>571</v>
      </c>
      <c r="C51" s="20"/>
      <c r="D51" s="20"/>
      <c r="E51" s="20"/>
      <c r="F51" s="12" t="s">
        <v>1935</v>
      </c>
      <c r="G51" s="12" t="s">
        <v>1936</v>
      </c>
      <c r="H51" s="12" t="s">
        <v>1937</v>
      </c>
      <c r="I51" s="12" t="s">
        <v>1938</v>
      </c>
      <c r="J51" s="12" t="s">
        <v>1939</v>
      </c>
      <c r="K51" s="12" t="s">
        <v>1940</v>
      </c>
      <c r="L51" s="12" t="s">
        <v>1941</v>
      </c>
      <c r="M51" s="12" t="s">
        <v>1942</v>
      </c>
      <c r="N51" s="12" t="s">
        <v>1943</v>
      </c>
      <c r="O51" s="12" t="s">
        <v>1944</v>
      </c>
      <c r="P51" s="12" t="s">
        <v>1945</v>
      </c>
      <c r="Q51" s="12" t="s">
        <v>1946</v>
      </c>
      <c r="R51" s="12" t="s">
        <v>1947</v>
      </c>
      <c r="S51" s="12" t="s">
        <v>1948</v>
      </c>
      <c r="T51" s="12" t="s">
        <v>1949</v>
      </c>
      <c r="U51" s="12" t="s">
        <v>1950</v>
      </c>
      <c r="V51" s="12" t="s">
        <v>1951</v>
      </c>
      <c r="W51" s="12" t="s">
        <v>1952</v>
      </c>
      <c r="X51" s="12" t="s">
        <v>1953</v>
      </c>
      <c r="Y51" s="12" t="s">
        <v>1954</v>
      </c>
      <c r="Z51" s="2"/>
    </row>
    <row r="52" customFormat="false" ht="42" hidden="false" customHeight="true" outlineLevel="0" collapsed="false">
      <c r="A52" s="12" t="s">
        <v>581</v>
      </c>
      <c r="B52" s="12" t="s">
        <v>582</v>
      </c>
      <c r="C52" s="20"/>
      <c r="D52" s="20"/>
      <c r="E52" s="20"/>
      <c r="F52" s="12" t="s">
        <v>1955</v>
      </c>
      <c r="G52" s="12" t="s">
        <v>1956</v>
      </c>
      <c r="H52" s="12" t="s">
        <v>1957</v>
      </c>
      <c r="I52" s="12" t="s">
        <v>1958</v>
      </c>
      <c r="J52" s="12" t="s">
        <v>1957</v>
      </c>
      <c r="K52" s="12" t="s">
        <v>1959</v>
      </c>
      <c r="L52" s="12" t="s">
        <v>1959</v>
      </c>
      <c r="M52" s="12" t="s">
        <v>1959</v>
      </c>
      <c r="N52" s="12" t="s">
        <v>1960</v>
      </c>
      <c r="O52" s="12" t="s">
        <v>1959</v>
      </c>
      <c r="P52" s="12" t="s">
        <v>1961</v>
      </c>
      <c r="Q52" s="12" t="s">
        <v>1962</v>
      </c>
      <c r="R52" s="12" t="s">
        <v>1961</v>
      </c>
      <c r="S52" s="12" t="s">
        <v>1963</v>
      </c>
      <c r="T52" s="12" t="s">
        <v>1961</v>
      </c>
      <c r="U52" s="12" t="s">
        <v>1964</v>
      </c>
      <c r="V52" s="12" t="s">
        <v>1965</v>
      </c>
      <c r="W52" s="12" t="s">
        <v>1966</v>
      </c>
      <c r="X52" s="12" t="s">
        <v>1967</v>
      </c>
      <c r="Y52" s="12" t="s">
        <v>1968</v>
      </c>
      <c r="Z52" s="2"/>
    </row>
    <row r="53" customFormat="false" ht="42" hidden="false" customHeight="true" outlineLevel="0" collapsed="false">
      <c r="A53" s="12" t="s">
        <v>590</v>
      </c>
      <c r="B53" s="12" t="s">
        <v>591</v>
      </c>
      <c r="C53" s="20"/>
      <c r="D53" s="20"/>
      <c r="E53" s="20"/>
      <c r="F53" s="12" t="s">
        <v>1969</v>
      </c>
      <c r="G53" s="12" t="s">
        <v>1970</v>
      </c>
      <c r="H53" s="12" t="s">
        <v>1971</v>
      </c>
      <c r="I53" s="12" t="s">
        <v>1972</v>
      </c>
      <c r="J53" s="12" t="s">
        <v>1973</v>
      </c>
      <c r="K53" s="12" t="s">
        <v>1974</v>
      </c>
      <c r="L53" s="12" t="s">
        <v>1975</v>
      </c>
      <c r="M53" s="12" t="s">
        <v>1976</v>
      </c>
      <c r="N53" s="12" t="s">
        <v>1977</v>
      </c>
      <c r="O53" s="12" t="s">
        <v>1978</v>
      </c>
      <c r="P53" s="12" t="s">
        <v>1979</v>
      </c>
      <c r="Q53" s="12" t="s">
        <v>1980</v>
      </c>
      <c r="R53" s="12" t="s">
        <v>1981</v>
      </c>
      <c r="S53" s="12" t="s">
        <v>1982</v>
      </c>
      <c r="T53" s="12" t="s">
        <v>1983</v>
      </c>
      <c r="U53" s="12" t="s">
        <v>1984</v>
      </c>
      <c r="V53" s="12" t="s">
        <v>1985</v>
      </c>
      <c r="W53" s="12" t="s">
        <v>1986</v>
      </c>
      <c r="X53" s="12" t="s">
        <v>1987</v>
      </c>
      <c r="Y53" s="12" t="s">
        <v>1988</v>
      </c>
      <c r="Z53" s="2"/>
    </row>
    <row r="54" customFormat="false" ht="42" hidden="false" customHeight="true" outlineLevel="0" collapsed="false">
      <c r="A54" s="12" t="s">
        <v>601</v>
      </c>
      <c r="B54" s="12" t="s">
        <v>602</v>
      </c>
      <c r="C54" s="20"/>
      <c r="D54" s="20"/>
      <c r="E54" s="20"/>
      <c r="F54" s="12" t="s">
        <v>1989</v>
      </c>
      <c r="G54" s="12" t="s">
        <v>1990</v>
      </c>
      <c r="H54" s="12" t="s">
        <v>1991</v>
      </c>
      <c r="I54" s="12" t="s">
        <v>1992</v>
      </c>
      <c r="J54" s="12" t="s">
        <v>1993</v>
      </c>
      <c r="K54" s="12" t="s">
        <v>1994</v>
      </c>
      <c r="L54" s="12" t="s">
        <v>1995</v>
      </c>
      <c r="M54" s="12" t="s">
        <v>1996</v>
      </c>
      <c r="N54" s="12" t="s">
        <v>1997</v>
      </c>
      <c r="O54" s="12" t="s">
        <v>1998</v>
      </c>
      <c r="P54" s="12" t="s">
        <v>1999</v>
      </c>
      <c r="Q54" s="12" t="s">
        <v>2000</v>
      </c>
      <c r="R54" s="12" t="s">
        <v>2001</v>
      </c>
      <c r="S54" s="12" t="s">
        <v>2002</v>
      </c>
      <c r="T54" s="12" t="s">
        <v>2003</v>
      </c>
      <c r="U54" s="12" t="s">
        <v>2004</v>
      </c>
      <c r="V54" s="12" t="s">
        <v>2005</v>
      </c>
      <c r="W54" s="12" t="s">
        <v>2006</v>
      </c>
      <c r="X54" s="12" t="s">
        <v>2007</v>
      </c>
      <c r="Y54" s="12" t="s">
        <v>2008</v>
      </c>
      <c r="Z54" s="2"/>
    </row>
    <row r="55" customFormat="false" ht="42" hidden="false" customHeight="true" outlineLevel="0" collapsed="false">
      <c r="A55" s="12" t="s">
        <v>612</v>
      </c>
      <c r="B55" s="12" t="s">
        <v>613</v>
      </c>
      <c r="C55" s="20"/>
      <c r="D55" s="20"/>
      <c r="E55" s="20"/>
      <c r="F55" s="12" t="s">
        <v>2009</v>
      </c>
      <c r="G55" s="12" t="s">
        <v>2010</v>
      </c>
      <c r="H55" s="12" t="s">
        <v>2011</v>
      </c>
      <c r="I55" s="12" t="s">
        <v>2012</v>
      </c>
      <c r="J55" s="12" t="s">
        <v>2013</v>
      </c>
      <c r="K55" s="12" t="s">
        <v>2014</v>
      </c>
      <c r="L55" s="12" t="s">
        <v>2015</v>
      </c>
      <c r="M55" s="12" t="s">
        <v>2016</v>
      </c>
      <c r="N55" s="12" t="s">
        <v>2017</v>
      </c>
      <c r="O55" s="12" t="s">
        <v>2018</v>
      </c>
      <c r="P55" s="12" t="s">
        <v>2019</v>
      </c>
      <c r="Q55" s="12" t="s">
        <v>2020</v>
      </c>
      <c r="R55" s="12" t="s">
        <v>2021</v>
      </c>
      <c r="S55" s="12" t="s">
        <v>2022</v>
      </c>
      <c r="T55" s="12" t="s">
        <v>2023</v>
      </c>
      <c r="U55" s="12" t="s">
        <v>2024</v>
      </c>
      <c r="V55" s="12" t="s">
        <v>2025</v>
      </c>
      <c r="W55" s="12" t="s">
        <v>2026</v>
      </c>
      <c r="X55" s="12" t="s">
        <v>2027</v>
      </c>
      <c r="Y55" s="12" t="s">
        <v>2028</v>
      </c>
      <c r="Z55" s="2"/>
    </row>
    <row r="56" customFormat="false" ht="42" hidden="false" customHeight="true" outlineLevel="0" collapsed="false">
      <c r="A56" s="12" t="s">
        <v>623</v>
      </c>
      <c r="B56" s="12" t="s">
        <v>624</v>
      </c>
      <c r="C56" s="20"/>
      <c r="D56" s="20"/>
      <c r="E56" s="20"/>
      <c r="F56" s="12" t="s">
        <v>2029</v>
      </c>
      <c r="G56" s="12" t="s">
        <v>2030</v>
      </c>
      <c r="H56" s="12" t="s">
        <v>2031</v>
      </c>
      <c r="I56" s="12" t="s">
        <v>2032</v>
      </c>
      <c r="J56" s="12" t="s">
        <v>2033</v>
      </c>
      <c r="K56" s="12" t="s">
        <v>2034</v>
      </c>
      <c r="L56" s="12" t="s">
        <v>2035</v>
      </c>
      <c r="M56" s="12" t="s">
        <v>2036</v>
      </c>
      <c r="N56" s="12" t="s">
        <v>2037</v>
      </c>
      <c r="O56" s="12" t="s">
        <v>2038</v>
      </c>
      <c r="P56" s="12" t="s">
        <v>2039</v>
      </c>
      <c r="Q56" s="12" t="s">
        <v>2040</v>
      </c>
      <c r="R56" s="12" t="s">
        <v>2041</v>
      </c>
      <c r="S56" s="12" t="s">
        <v>2042</v>
      </c>
      <c r="T56" s="12" t="s">
        <v>2043</v>
      </c>
      <c r="U56" s="12" t="s">
        <v>2044</v>
      </c>
      <c r="V56" s="12" t="s">
        <v>2045</v>
      </c>
      <c r="W56" s="12" t="s">
        <v>2046</v>
      </c>
      <c r="X56" s="12" t="s">
        <v>2047</v>
      </c>
      <c r="Y56" s="12" t="s">
        <v>2048</v>
      </c>
      <c r="Z56" s="2"/>
    </row>
    <row r="57" customFormat="false" ht="42" hidden="false" customHeight="true" outlineLevel="0" collapsed="false">
      <c r="A57" s="12" t="s">
        <v>634</v>
      </c>
      <c r="B57" s="12" t="s">
        <v>635</v>
      </c>
      <c r="C57" s="20"/>
      <c r="D57" s="20"/>
      <c r="E57" s="20"/>
      <c r="F57" s="12" t="s">
        <v>2049</v>
      </c>
      <c r="G57" s="12" t="s">
        <v>2050</v>
      </c>
      <c r="H57" s="12" t="s">
        <v>2051</v>
      </c>
      <c r="I57" s="12" t="s">
        <v>2052</v>
      </c>
      <c r="J57" s="12" t="s">
        <v>2053</v>
      </c>
      <c r="K57" s="12" t="s">
        <v>2054</v>
      </c>
      <c r="L57" s="12" t="s">
        <v>2055</v>
      </c>
      <c r="M57" s="12" t="s">
        <v>2056</v>
      </c>
      <c r="N57" s="12" t="s">
        <v>2057</v>
      </c>
      <c r="O57" s="12" t="s">
        <v>2058</v>
      </c>
      <c r="P57" s="12" t="s">
        <v>2059</v>
      </c>
      <c r="Q57" s="12" t="s">
        <v>2060</v>
      </c>
      <c r="R57" s="12" t="s">
        <v>2061</v>
      </c>
      <c r="S57" s="12" t="s">
        <v>2062</v>
      </c>
      <c r="T57" s="12" t="s">
        <v>2063</v>
      </c>
      <c r="U57" s="12" t="s">
        <v>2064</v>
      </c>
      <c r="V57" s="12" t="s">
        <v>2065</v>
      </c>
      <c r="W57" s="12" t="s">
        <v>2066</v>
      </c>
      <c r="X57" s="12" t="s">
        <v>2067</v>
      </c>
      <c r="Y57" s="12" t="s">
        <v>2068</v>
      </c>
      <c r="Z57" s="2"/>
    </row>
    <row r="58" customFormat="false" ht="42" hidden="false" customHeight="true" outlineLevel="0" collapsed="false">
      <c r="A58" s="12" t="s">
        <v>645</v>
      </c>
      <c r="B58" s="12" t="s">
        <v>646</v>
      </c>
      <c r="C58" s="20"/>
      <c r="D58" s="20"/>
      <c r="E58" s="20"/>
      <c r="F58" s="12" t="s">
        <v>2069</v>
      </c>
      <c r="G58" s="12" t="s">
        <v>2070</v>
      </c>
      <c r="H58" s="12" t="s">
        <v>2071</v>
      </c>
      <c r="I58" s="12" t="s">
        <v>2072</v>
      </c>
      <c r="J58" s="12" t="s">
        <v>2073</v>
      </c>
      <c r="K58" s="12" t="s">
        <v>2074</v>
      </c>
      <c r="L58" s="12" t="s">
        <v>2075</v>
      </c>
      <c r="M58" s="12" t="s">
        <v>2076</v>
      </c>
      <c r="N58" s="12" t="s">
        <v>2077</v>
      </c>
      <c r="O58" s="12" t="s">
        <v>2078</v>
      </c>
      <c r="P58" s="12" t="s">
        <v>2079</v>
      </c>
      <c r="Q58" s="12" t="s">
        <v>2080</v>
      </c>
      <c r="R58" s="12" t="s">
        <v>2081</v>
      </c>
      <c r="S58" s="12" t="s">
        <v>2082</v>
      </c>
      <c r="T58" s="12" t="s">
        <v>2083</v>
      </c>
      <c r="U58" s="12" t="s">
        <v>2084</v>
      </c>
      <c r="V58" s="12" t="s">
        <v>2085</v>
      </c>
      <c r="W58" s="12" t="s">
        <v>2086</v>
      </c>
      <c r="X58" s="12" t="s">
        <v>2087</v>
      </c>
      <c r="Y58" s="12" t="s">
        <v>2088</v>
      </c>
      <c r="Z58" s="2"/>
    </row>
    <row r="59" customFormat="false" ht="42" hidden="false" customHeight="true" outlineLevel="0" collapsed="false">
      <c r="A59" s="12" t="s">
        <v>656</v>
      </c>
      <c r="B59" s="12" t="s">
        <v>657</v>
      </c>
      <c r="C59" s="20"/>
      <c r="D59" s="20"/>
      <c r="E59" s="20"/>
      <c r="F59" s="12" t="s">
        <v>2089</v>
      </c>
      <c r="G59" s="12" t="s">
        <v>2090</v>
      </c>
      <c r="H59" s="12" t="s">
        <v>2091</v>
      </c>
      <c r="I59" s="12" t="s">
        <v>2092</v>
      </c>
      <c r="J59" s="12" t="s">
        <v>2093</v>
      </c>
      <c r="K59" s="12" t="s">
        <v>2094</v>
      </c>
      <c r="L59" s="12" t="s">
        <v>2095</v>
      </c>
      <c r="M59" s="12" t="s">
        <v>2096</v>
      </c>
      <c r="N59" s="12" t="s">
        <v>2097</v>
      </c>
      <c r="O59" s="12" t="s">
        <v>2098</v>
      </c>
      <c r="P59" s="12" t="s">
        <v>2099</v>
      </c>
      <c r="Q59" s="12" t="s">
        <v>2100</v>
      </c>
      <c r="R59" s="12" t="s">
        <v>2101</v>
      </c>
      <c r="S59" s="12" t="s">
        <v>2102</v>
      </c>
      <c r="T59" s="12" t="s">
        <v>2103</v>
      </c>
      <c r="U59" s="12" t="s">
        <v>2104</v>
      </c>
      <c r="V59" s="12" t="s">
        <v>2105</v>
      </c>
      <c r="W59" s="12" t="s">
        <v>2106</v>
      </c>
      <c r="X59" s="12" t="s">
        <v>2107</v>
      </c>
      <c r="Y59" s="12" t="s">
        <v>2108</v>
      </c>
      <c r="Z59" s="2"/>
    </row>
    <row r="60" customFormat="false" ht="14.25" hidden="false" customHeight="fals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4.25" hidden="false" customHeight="fals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4.25" hidden="false" customHeight="fals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4.25" hidden="false" customHeight="fals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4.25" hidden="false" customHeight="fals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4.25" hidden="false" customHeight="fals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4.25" hidden="false" customHeight="fals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4.25" hidden="false" customHeight="fals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4.25" hidden="false" customHeight="fals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4.25" hidden="false" customHeight="fals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4.25" hidden="false" customHeight="fals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4.25" hidden="false" customHeight="fals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4.25" hidden="false" customHeight="fals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4.25" hidden="false" customHeight="fals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4.25" hidden="false" customHeight="fals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4.25" hidden="false" customHeight="fals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4.25" hidden="false" customHeight="fals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4.25" hidden="false" customHeight="fals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4.25" hidden="false" customHeight="fals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4.25" hidden="false" customHeight="fals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4.25" hidden="false" customHeight="fals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4.25" hidden="false" customHeight="fals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4.25" hidden="false" customHeight="fals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4.25" hidden="false" customHeight="fals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4.25" hidden="false" customHeight="fals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4.25" hidden="false" customHeight="fals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4.25" hidden="false" customHeight="fals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4.25" hidden="false" customHeight="fals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4.25" hidden="false" customHeight="fals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4.25" hidden="false" customHeight="fals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4.25" hidden="false" customHeight="fals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4.25" hidden="false" customHeight="fals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4.25" hidden="false" customHeight="fals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4.25" hidden="false" customHeight="fals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4.25" hidden="false" customHeight="fals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4.25" hidden="false" customHeight="fals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4.25" hidden="false" customHeight="fals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4.25" hidden="false" customHeight="fals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4.25" hidden="false" customHeight="fals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4.25" hidden="false" customHeight="fals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4.25" hidden="false" customHeight="fals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4.25" hidden="false" customHeight="fals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4.25" hidden="false" customHeight="fals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4.25" hidden="false" customHeight="fals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4.25" hidden="false" customHeight="fals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4.25" hidden="false" customHeight="fals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4.25" hidden="false" customHeight="fals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4.25" hidden="false" customHeight="fals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4.25" hidden="false" customHeight="fals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4.25" hidden="false" customHeight="fals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4.25" hidden="false" customHeight="fals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4.25" hidden="false" customHeight="fals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4.25" hidden="false" customHeight="fals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4.25" hidden="false" customHeight="fals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4.25" hidden="false" customHeight="fals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4.25" hidden="false" customHeight="fals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4.25" hidden="false" customHeight="fals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4.25" hidden="false" customHeight="fals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4.25" hidden="false" customHeight="fals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4.25" hidden="false" customHeight="fals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4.25" hidden="false" customHeight="fals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4.25" hidden="false" customHeight="fals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4.25" hidden="false" customHeight="fals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4.25" hidden="false" customHeight="fals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4.25" hidden="false" customHeight="fals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4.25" hidden="false" customHeight="fals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4.25" hidden="false" customHeight="fals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4.25" hidden="false" customHeight="fals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4.25" hidden="false" customHeight="fals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4.25" hidden="false" customHeight="fals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4.25" hidden="false" customHeight="fals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4.25" hidden="false" customHeight="fals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4.25" hidden="false" customHeight="fals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4.25" hidden="false" customHeight="fals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4.25" hidden="false" customHeight="fals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4.25" hidden="false" customHeight="fals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4.25" hidden="false" customHeight="fals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4.25" hidden="false" customHeight="fals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4.25" hidden="false" customHeight="fals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4.25" hidden="false" customHeight="fals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4.25" hidden="false" customHeight="fals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4.25" hidden="false" customHeight="fals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4.25" hidden="false" customHeight="fals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4.25" hidden="false" customHeight="fals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4.25" hidden="false" customHeight="fals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4.25" hidden="false" customHeight="fals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4.25" hidden="false" customHeight="fals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4.25" hidden="false" customHeight="fals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4.25" hidden="false" customHeight="fals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4.25" hidden="false" customHeight="fals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4.25" hidden="false" customHeight="fals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4.25" hidden="false" customHeight="fals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4.25" hidden="false" customHeight="fals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4.25" hidden="false" customHeight="fals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4.25" hidden="false" customHeight="fals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4.25" hidden="false" customHeight="fals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4.25" hidden="false" customHeight="fals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4.25" hidden="false" customHeight="fals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4.25" hidden="false" customHeight="fals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4.25" hidden="false" customHeight="fals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4.25" hidden="false" customHeight="fals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4.25" hidden="false" customHeight="fals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4.25" hidden="false" customHeight="fals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4.25" hidden="false" customHeight="fals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4.25" hidden="false" customHeight="fals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4.25" hidden="false" customHeight="fals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4.25" hidden="false" customHeight="fals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4.25" hidden="false" customHeight="fals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4.25" hidden="false" customHeight="fals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4.25" hidden="false" customHeight="fals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4.25" hidden="false" customHeight="fals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4.25" hidden="false" customHeight="fals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4.25" hidden="false" customHeight="fals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4.25" hidden="false" customHeight="fals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4.25" hidden="false" customHeight="fals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4.25" hidden="false" customHeight="fals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4.25" hidden="false" customHeight="fals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4.25" hidden="false" customHeight="fals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4.25" hidden="false" customHeight="fals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4.25" hidden="false" customHeight="fals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4.25" hidden="false" customHeight="fals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4.25" hidden="false" customHeight="fals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4.25" hidden="false" customHeight="fals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4.25" hidden="false" customHeight="fals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4.25" hidden="false" customHeight="fals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4.25" hidden="false" customHeight="fals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4.25" hidden="false" customHeight="fals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4.25" hidden="false" customHeight="fals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4.25" hidden="false" customHeight="fals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4.25" hidden="false" customHeight="fals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4.25" hidden="false" customHeight="fals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4.25" hidden="false" customHeight="fals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4.25" hidden="false" customHeight="fals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4.25" hidden="false" customHeight="fals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4.25" hidden="false" customHeight="fals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4.25" hidden="false" customHeight="fals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4.25" hidden="false" customHeight="fals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4.25" hidden="false" customHeight="fals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4.25" hidden="false" customHeight="fals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4.25" hidden="false" customHeight="fals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4.25" hidden="false" customHeight="fals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sheetData>
  <autoFilter ref="A4:Y59"/>
  <mergeCells count="2">
    <mergeCell ref="A1:Y1"/>
    <mergeCell ref="A2:Y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A48B"/>
    <pageSetUpPr fitToPage="false"/>
  </sheetPr>
  <dimension ref="A1:Z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9.00390625" defaultRowHeight="14.2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4" min="3" style="0" width="40"/>
    <col collapsed="false" customWidth="true" hidden="false" outlineLevel="0" max="12" min="5" style="0" width="17"/>
    <col collapsed="false" customWidth="true" hidden="false" outlineLevel="0" max="13" min="13" style="0" width="22"/>
    <col collapsed="false" customWidth="true" hidden="false" outlineLevel="0" max="14" min="14" style="0" width="48"/>
  </cols>
  <sheetData>
    <row r="1" customFormat="false" ht="30" hidden="false" customHeight="true" outlineLevel="0" collapsed="false">
      <c r="A1" s="1" t="s">
        <v>2109</v>
      </c>
      <c r="B1" s="1"/>
      <c r="C1" s="1"/>
      <c r="D1" s="1"/>
      <c r="E1" s="1"/>
      <c r="F1" s="1"/>
      <c r="G1" s="1"/>
      <c r="H1" s="1"/>
      <c r="I1" s="1"/>
      <c r="J1" s="1"/>
      <c r="K1" s="1"/>
      <c r="L1" s="1"/>
      <c r="M1" s="1"/>
      <c r="N1" s="1"/>
      <c r="O1" s="2"/>
      <c r="P1" s="2"/>
      <c r="Q1" s="2"/>
      <c r="R1" s="2"/>
      <c r="S1" s="2"/>
      <c r="T1" s="2"/>
      <c r="U1" s="2"/>
      <c r="V1" s="2"/>
      <c r="W1" s="2"/>
      <c r="X1" s="2"/>
      <c r="Y1" s="2"/>
      <c r="Z1" s="2"/>
    </row>
    <row r="2" customFormat="false" ht="30" hidden="false" customHeight="true" outlineLevel="0" collapsed="false">
      <c r="A2" s="3" t="s">
        <v>2110</v>
      </c>
      <c r="B2" s="3"/>
      <c r="C2" s="3"/>
      <c r="D2" s="3"/>
      <c r="E2" s="3"/>
      <c r="F2" s="3"/>
      <c r="G2" s="3"/>
      <c r="H2" s="3"/>
      <c r="I2" s="3"/>
      <c r="J2" s="3"/>
      <c r="K2" s="3"/>
      <c r="L2" s="3"/>
      <c r="M2" s="3"/>
      <c r="N2" s="3"/>
      <c r="O2" s="2"/>
      <c r="P2" s="2"/>
      <c r="Q2" s="2"/>
      <c r="R2" s="2"/>
      <c r="S2" s="2"/>
      <c r="T2" s="2"/>
      <c r="U2" s="2"/>
      <c r="V2" s="2"/>
      <c r="W2" s="2"/>
      <c r="X2" s="2"/>
      <c r="Y2" s="2"/>
      <c r="Z2" s="2"/>
    </row>
    <row r="3" customFormat="false" ht="14.25" hidden="false" customHeight="false" outlineLevel="0" collapsed="false">
      <c r="A3" s="2"/>
      <c r="B3" s="2"/>
      <c r="C3" s="2"/>
      <c r="D3" s="2"/>
      <c r="E3" s="2"/>
      <c r="F3" s="2"/>
      <c r="G3" s="2"/>
      <c r="H3" s="2"/>
      <c r="I3" s="2"/>
      <c r="J3" s="2"/>
      <c r="K3" s="2"/>
      <c r="L3" s="2"/>
      <c r="M3" s="2"/>
      <c r="N3" s="2"/>
      <c r="O3" s="2"/>
      <c r="P3" s="2"/>
      <c r="Q3" s="2"/>
      <c r="R3" s="2"/>
      <c r="S3" s="2"/>
      <c r="T3" s="2"/>
      <c r="U3" s="2"/>
      <c r="V3" s="2"/>
      <c r="W3" s="2"/>
      <c r="X3" s="2"/>
      <c r="Y3" s="2"/>
      <c r="Z3" s="2"/>
    </row>
    <row r="4" customFormat="false" ht="36" hidden="false" customHeight="true" outlineLevel="0" collapsed="false">
      <c r="A4" s="11" t="s">
        <v>79</v>
      </c>
      <c r="B4" s="11" t="s">
        <v>821</v>
      </c>
      <c r="C4" s="11" t="s">
        <v>2111</v>
      </c>
      <c r="D4" s="11" t="s">
        <v>2112</v>
      </c>
      <c r="E4" s="11" t="s">
        <v>2113</v>
      </c>
      <c r="F4" s="11" t="s">
        <v>2114</v>
      </c>
      <c r="G4" s="11" t="s">
        <v>2115</v>
      </c>
      <c r="H4" s="11" t="s">
        <v>2116</v>
      </c>
      <c r="I4" s="11" t="s">
        <v>2117</v>
      </c>
      <c r="J4" s="11" t="s">
        <v>2118</v>
      </c>
      <c r="K4" s="11" t="s">
        <v>2119</v>
      </c>
      <c r="L4" s="11" t="s">
        <v>2120</v>
      </c>
      <c r="M4" s="11" t="s">
        <v>2121</v>
      </c>
      <c r="N4" s="11" t="s">
        <v>2122</v>
      </c>
      <c r="O4" s="2"/>
      <c r="P4" s="2"/>
      <c r="Q4" s="2"/>
      <c r="R4" s="2"/>
      <c r="S4" s="2"/>
      <c r="T4" s="2"/>
      <c r="U4" s="2"/>
      <c r="V4" s="2"/>
      <c r="W4" s="2"/>
      <c r="X4" s="2"/>
      <c r="Y4" s="2"/>
      <c r="Z4" s="2"/>
    </row>
    <row r="5" customFormat="false" ht="42" hidden="false" customHeight="true" outlineLevel="0" collapsed="false">
      <c r="A5" s="12" t="s">
        <v>91</v>
      </c>
      <c r="B5" s="12" t="s">
        <v>92</v>
      </c>
      <c r="C5" s="20"/>
      <c r="D5" s="12" t="str">
        <f aca="false">IF(C5="","",C5)</f>
        <v/>
      </c>
      <c r="E5" s="12" t="s">
        <v>686</v>
      </c>
      <c r="F5" s="12" t="s">
        <v>686</v>
      </c>
      <c r="G5" s="12" t="s">
        <v>687</v>
      </c>
      <c r="H5" s="12" t="s">
        <v>687</v>
      </c>
      <c r="I5" s="12" t="s">
        <v>687</v>
      </c>
      <c r="J5" s="12" t="s">
        <v>686</v>
      </c>
      <c r="K5" s="21"/>
      <c r="L5" s="21"/>
      <c r="M5" s="12" t="str">
        <f aca="true">IF(02_Productos_MASTER!J5&lt;&gt;"Sí","Ocultar",IF(AND(OR(K5="",TODAY()&gt;=K5),OR(L5="",TODAY()&lt;=L5)),"Publicar","Ocultar"))</f>
        <v>Publicar</v>
      </c>
      <c r="N5" s="20"/>
      <c r="O5" s="2"/>
      <c r="P5" s="2"/>
      <c r="Q5" s="2"/>
      <c r="R5" s="2"/>
      <c r="S5" s="2"/>
      <c r="T5" s="2"/>
      <c r="U5" s="2"/>
      <c r="V5" s="2"/>
      <c r="W5" s="2"/>
      <c r="X5" s="2"/>
      <c r="Y5" s="2"/>
      <c r="Z5" s="2"/>
    </row>
    <row r="6" customFormat="false" ht="42" hidden="false" customHeight="true" outlineLevel="0" collapsed="false">
      <c r="A6" s="12" t="s">
        <v>102</v>
      </c>
      <c r="B6" s="12" t="s">
        <v>103</v>
      </c>
      <c r="C6" s="20"/>
      <c r="D6" s="12" t="str">
        <f aca="false">IF(C6="","",C6)</f>
        <v/>
      </c>
      <c r="E6" s="12" t="s">
        <v>686</v>
      </c>
      <c r="F6" s="12" t="s">
        <v>686</v>
      </c>
      <c r="G6" s="12" t="s">
        <v>687</v>
      </c>
      <c r="H6" s="12" t="s">
        <v>687</v>
      </c>
      <c r="I6" s="12" t="s">
        <v>687</v>
      </c>
      <c r="J6" s="12" t="s">
        <v>686</v>
      </c>
      <c r="K6" s="21"/>
      <c r="L6" s="21"/>
      <c r="M6" s="12" t="str">
        <f aca="true">IF(02_Productos_MASTER!J6&lt;&gt;"Sí","Ocultar",IF(AND(OR(K6="",TODAY()&gt;=K6),OR(L6="",TODAY()&lt;=L6)),"Publicar","Ocultar"))</f>
        <v>Publicar</v>
      </c>
      <c r="N6" s="20"/>
      <c r="O6" s="2"/>
      <c r="P6" s="2"/>
      <c r="Q6" s="2"/>
      <c r="R6" s="2"/>
      <c r="S6" s="2"/>
      <c r="T6" s="2"/>
      <c r="U6" s="2"/>
      <c r="V6" s="2"/>
      <c r="W6" s="2"/>
      <c r="X6" s="2"/>
      <c r="Y6" s="2"/>
      <c r="Z6" s="2"/>
    </row>
    <row r="7" customFormat="false" ht="42" hidden="false" customHeight="true" outlineLevel="0" collapsed="false">
      <c r="A7" s="12" t="s">
        <v>113</v>
      </c>
      <c r="B7" s="12" t="s">
        <v>114</v>
      </c>
      <c r="C7" s="20"/>
      <c r="D7" s="12" t="str">
        <f aca="false">IF(C7="","",C7)</f>
        <v/>
      </c>
      <c r="E7" s="12" t="s">
        <v>686</v>
      </c>
      <c r="F7" s="12" t="s">
        <v>686</v>
      </c>
      <c r="G7" s="12" t="s">
        <v>687</v>
      </c>
      <c r="H7" s="12" t="s">
        <v>687</v>
      </c>
      <c r="I7" s="12" t="s">
        <v>687</v>
      </c>
      <c r="J7" s="12" t="s">
        <v>686</v>
      </c>
      <c r="K7" s="21"/>
      <c r="L7" s="21"/>
      <c r="M7" s="12" t="str">
        <f aca="true">IF(02_Productos_MASTER!J7&lt;&gt;"Sí","Ocultar",IF(AND(OR(K7="",TODAY()&gt;=K7),OR(L7="",TODAY()&lt;=L7)),"Publicar","Ocultar"))</f>
        <v>Publicar</v>
      </c>
      <c r="N7" s="20"/>
      <c r="O7" s="2"/>
      <c r="P7" s="2"/>
      <c r="Q7" s="2"/>
      <c r="R7" s="2"/>
      <c r="S7" s="2"/>
      <c r="T7" s="2"/>
      <c r="U7" s="2"/>
      <c r="V7" s="2"/>
      <c r="W7" s="2"/>
      <c r="X7" s="2"/>
      <c r="Y7" s="2"/>
      <c r="Z7" s="2"/>
    </row>
    <row r="8" customFormat="false" ht="42" hidden="false" customHeight="true" outlineLevel="0" collapsed="false">
      <c r="A8" s="12" t="s">
        <v>124</v>
      </c>
      <c r="B8" s="12" t="s">
        <v>125</v>
      </c>
      <c r="C8" s="20"/>
      <c r="D8" s="12" t="str">
        <f aca="false">IF(C8="","",C8)</f>
        <v/>
      </c>
      <c r="E8" s="12" t="s">
        <v>686</v>
      </c>
      <c r="F8" s="12" t="s">
        <v>686</v>
      </c>
      <c r="G8" s="12" t="s">
        <v>687</v>
      </c>
      <c r="H8" s="12" t="s">
        <v>687</v>
      </c>
      <c r="I8" s="12" t="s">
        <v>687</v>
      </c>
      <c r="J8" s="12" t="s">
        <v>686</v>
      </c>
      <c r="K8" s="21"/>
      <c r="L8" s="21"/>
      <c r="M8" s="12" t="str">
        <f aca="true">IF(02_Productos_MASTER!J8&lt;&gt;"Sí","Ocultar",IF(AND(OR(K8="",TODAY()&gt;=K8),OR(L8="",TODAY()&lt;=L8)),"Publicar","Ocultar"))</f>
        <v>Publicar</v>
      </c>
      <c r="N8" s="20"/>
      <c r="O8" s="2"/>
      <c r="P8" s="2"/>
      <c r="Q8" s="2"/>
      <c r="R8" s="2"/>
      <c r="S8" s="2"/>
      <c r="T8" s="2"/>
      <c r="U8" s="2"/>
      <c r="V8" s="2"/>
      <c r="W8" s="2"/>
      <c r="X8" s="2"/>
      <c r="Y8" s="2"/>
      <c r="Z8" s="2"/>
    </row>
    <row r="9" customFormat="false" ht="42" hidden="false" customHeight="true" outlineLevel="0" collapsed="false">
      <c r="A9" s="12" t="s">
        <v>135</v>
      </c>
      <c r="B9" s="12" t="s">
        <v>136</v>
      </c>
      <c r="C9" s="20"/>
      <c r="D9" s="12" t="str">
        <f aca="false">IF(C9="","",C9)</f>
        <v/>
      </c>
      <c r="E9" s="12" t="s">
        <v>686</v>
      </c>
      <c r="F9" s="12" t="s">
        <v>686</v>
      </c>
      <c r="G9" s="12" t="s">
        <v>687</v>
      </c>
      <c r="H9" s="12" t="s">
        <v>687</v>
      </c>
      <c r="I9" s="12" t="s">
        <v>687</v>
      </c>
      <c r="J9" s="12" t="s">
        <v>686</v>
      </c>
      <c r="K9" s="21"/>
      <c r="L9" s="21"/>
      <c r="M9" s="12" t="str">
        <f aca="true">IF(02_Productos_MASTER!J9&lt;&gt;"Sí","Ocultar",IF(AND(OR(K9="",TODAY()&gt;=K9),OR(L9="",TODAY()&lt;=L9)),"Publicar","Ocultar"))</f>
        <v>Publicar</v>
      </c>
      <c r="N9" s="20" t="s">
        <v>692</v>
      </c>
      <c r="O9" s="2"/>
      <c r="P9" s="2"/>
      <c r="Q9" s="2"/>
      <c r="R9" s="2"/>
      <c r="S9" s="2"/>
      <c r="T9" s="2"/>
      <c r="U9" s="2"/>
      <c r="V9" s="2"/>
      <c r="W9" s="2"/>
      <c r="X9" s="2"/>
      <c r="Y9" s="2"/>
      <c r="Z9" s="2"/>
    </row>
    <row r="10" customFormat="false" ht="42" hidden="false" customHeight="true" outlineLevel="0" collapsed="false">
      <c r="A10" s="12" t="s">
        <v>146</v>
      </c>
      <c r="B10" s="12" t="s">
        <v>147</v>
      </c>
      <c r="C10" s="20"/>
      <c r="D10" s="12" t="str">
        <f aca="false">IF(C10="","",C10)</f>
        <v/>
      </c>
      <c r="E10" s="12" t="s">
        <v>686</v>
      </c>
      <c r="F10" s="12" t="s">
        <v>686</v>
      </c>
      <c r="G10" s="12" t="s">
        <v>687</v>
      </c>
      <c r="H10" s="12" t="s">
        <v>687</v>
      </c>
      <c r="I10" s="12" t="s">
        <v>687</v>
      </c>
      <c r="J10" s="12" t="s">
        <v>686</v>
      </c>
      <c r="K10" s="21"/>
      <c r="L10" s="21"/>
      <c r="M10" s="12" t="str">
        <f aca="true">IF(02_Productos_MASTER!J10&lt;&gt;"Sí","Ocultar",IF(AND(OR(K10="",TODAY()&gt;=K10),OR(L10="",TODAY()&lt;=L10)),"Publicar","Ocultar"))</f>
        <v>Publicar</v>
      </c>
      <c r="N10" s="20"/>
      <c r="O10" s="2"/>
      <c r="P10" s="2"/>
      <c r="Q10" s="2"/>
      <c r="R10" s="2"/>
      <c r="S10" s="2"/>
      <c r="T10" s="2"/>
      <c r="U10" s="2"/>
      <c r="V10" s="2"/>
      <c r="W10" s="2"/>
      <c r="X10" s="2"/>
      <c r="Y10" s="2"/>
      <c r="Z10" s="2"/>
    </row>
    <row r="11" customFormat="false" ht="42" hidden="false" customHeight="true" outlineLevel="0" collapsed="false">
      <c r="A11" s="12" t="s">
        <v>157</v>
      </c>
      <c r="B11" s="12" t="s">
        <v>158</v>
      </c>
      <c r="C11" s="20"/>
      <c r="D11" s="12" t="str">
        <f aca="false">IF(C11="","",C11)</f>
        <v/>
      </c>
      <c r="E11" s="12" t="s">
        <v>686</v>
      </c>
      <c r="F11" s="12" t="s">
        <v>686</v>
      </c>
      <c r="G11" s="12" t="s">
        <v>687</v>
      </c>
      <c r="H11" s="12" t="s">
        <v>687</v>
      </c>
      <c r="I11" s="12" t="s">
        <v>687</v>
      </c>
      <c r="J11" s="12" t="s">
        <v>686</v>
      </c>
      <c r="K11" s="21"/>
      <c r="L11" s="21"/>
      <c r="M11" s="12" t="str">
        <f aca="true">IF(02_Productos_MASTER!J11&lt;&gt;"Sí","Ocultar",IF(AND(OR(K11="",TODAY()&gt;=K11),OR(L11="",TODAY()&lt;=L11)),"Publicar","Ocultar"))</f>
        <v>Publicar</v>
      </c>
      <c r="N11" s="20"/>
      <c r="O11" s="2"/>
      <c r="P11" s="2"/>
      <c r="Q11" s="2"/>
      <c r="R11" s="2"/>
      <c r="S11" s="2"/>
      <c r="T11" s="2"/>
      <c r="U11" s="2"/>
      <c r="V11" s="2"/>
      <c r="W11" s="2"/>
      <c r="X11" s="2"/>
      <c r="Y11" s="2"/>
      <c r="Z11" s="2"/>
    </row>
    <row r="12" customFormat="false" ht="42" hidden="false" customHeight="true" outlineLevel="0" collapsed="false">
      <c r="A12" s="12" t="s">
        <v>168</v>
      </c>
      <c r="B12" s="12" t="s">
        <v>169</v>
      </c>
      <c r="C12" s="20"/>
      <c r="D12" s="12" t="str">
        <f aca="false">IF(C12="","",C12)</f>
        <v/>
      </c>
      <c r="E12" s="12" t="s">
        <v>686</v>
      </c>
      <c r="F12" s="12" t="s">
        <v>686</v>
      </c>
      <c r="G12" s="12" t="s">
        <v>687</v>
      </c>
      <c r="H12" s="12" t="s">
        <v>687</v>
      </c>
      <c r="I12" s="12" t="s">
        <v>687</v>
      </c>
      <c r="J12" s="12" t="s">
        <v>686</v>
      </c>
      <c r="K12" s="21"/>
      <c r="L12" s="21"/>
      <c r="M12" s="12" t="str">
        <f aca="true">IF(02_Productos_MASTER!J12&lt;&gt;"Sí","Ocultar",IF(AND(OR(K12="",TODAY()&gt;=K12),OR(L12="",TODAY()&lt;=L12)),"Publicar","Ocultar"))</f>
        <v>Publicar</v>
      </c>
      <c r="N12" s="20"/>
      <c r="O12" s="2"/>
      <c r="P12" s="2"/>
      <c r="Q12" s="2"/>
      <c r="R12" s="2"/>
      <c r="S12" s="2"/>
      <c r="T12" s="2"/>
      <c r="U12" s="2"/>
      <c r="V12" s="2"/>
      <c r="W12" s="2"/>
      <c r="X12" s="2"/>
      <c r="Y12" s="2"/>
      <c r="Z12" s="2"/>
    </row>
    <row r="13" customFormat="false" ht="42" hidden="false" customHeight="true" outlineLevel="0" collapsed="false">
      <c r="A13" s="12" t="s">
        <v>179</v>
      </c>
      <c r="B13" s="12" t="s">
        <v>180</v>
      </c>
      <c r="C13" s="20"/>
      <c r="D13" s="12" t="str">
        <f aca="false">IF(C13="","",C13)</f>
        <v/>
      </c>
      <c r="E13" s="12" t="s">
        <v>686</v>
      </c>
      <c r="F13" s="12" t="s">
        <v>686</v>
      </c>
      <c r="G13" s="12" t="s">
        <v>687</v>
      </c>
      <c r="H13" s="12" t="s">
        <v>687</v>
      </c>
      <c r="I13" s="12" t="s">
        <v>687</v>
      </c>
      <c r="J13" s="12" t="s">
        <v>686</v>
      </c>
      <c r="K13" s="21"/>
      <c r="L13" s="21"/>
      <c r="M13" s="12" t="str">
        <f aca="true">IF(02_Productos_MASTER!J13&lt;&gt;"Sí","Ocultar",IF(AND(OR(K13="",TODAY()&gt;=K13),OR(L13="",TODAY()&lt;=L13)),"Publicar","Ocultar"))</f>
        <v>Publicar</v>
      </c>
      <c r="N13" s="20" t="s">
        <v>693</v>
      </c>
      <c r="O13" s="2"/>
      <c r="P13" s="2"/>
      <c r="Q13" s="2"/>
      <c r="R13" s="2"/>
      <c r="S13" s="2"/>
      <c r="T13" s="2"/>
      <c r="U13" s="2"/>
      <c r="V13" s="2"/>
      <c r="W13" s="2"/>
      <c r="X13" s="2"/>
      <c r="Y13" s="2"/>
      <c r="Z13" s="2"/>
    </row>
    <row r="14" customFormat="false" ht="42" hidden="false" customHeight="true" outlineLevel="0" collapsed="false">
      <c r="A14" s="12" t="s">
        <v>190</v>
      </c>
      <c r="B14" s="12" t="s">
        <v>191</v>
      </c>
      <c r="C14" s="20"/>
      <c r="D14" s="12" t="str">
        <f aca="false">IF(C14="","",C14)</f>
        <v/>
      </c>
      <c r="E14" s="12" t="s">
        <v>686</v>
      </c>
      <c r="F14" s="12" t="s">
        <v>686</v>
      </c>
      <c r="G14" s="12" t="s">
        <v>687</v>
      </c>
      <c r="H14" s="12" t="s">
        <v>687</v>
      </c>
      <c r="I14" s="12" t="s">
        <v>687</v>
      </c>
      <c r="J14" s="12" t="s">
        <v>686</v>
      </c>
      <c r="K14" s="21"/>
      <c r="L14" s="21"/>
      <c r="M14" s="12" t="str">
        <f aca="true">IF(02_Productos_MASTER!J14&lt;&gt;"Sí","Ocultar",IF(AND(OR(K14="",TODAY()&gt;=K14),OR(L14="",TODAY()&lt;=L14)),"Publicar","Ocultar"))</f>
        <v>Publicar</v>
      </c>
      <c r="N14" s="20"/>
      <c r="O14" s="2"/>
      <c r="P14" s="2"/>
      <c r="Q14" s="2"/>
      <c r="R14" s="2"/>
      <c r="S14" s="2"/>
      <c r="T14" s="2"/>
      <c r="U14" s="2"/>
      <c r="V14" s="2"/>
      <c r="W14" s="2"/>
      <c r="X14" s="2"/>
      <c r="Y14" s="2"/>
      <c r="Z14" s="2"/>
    </row>
    <row r="15" customFormat="false" ht="42" hidden="false" customHeight="true" outlineLevel="0" collapsed="false">
      <c r="A15" s="12" t="s">
        <v>200</v>
      </c>
      <c r="B15" s="12" t="s">
        <v>201</v>
      </c>
      <c r="C15" s="20"/>
      <c r="D15" s="12" t="str">
        <f aca="false">IF(C15="","",C15)</f>
        <v/>
      </c>
      <c r="E15" s="12" t="s">
        <v>686</v>
      </c>
      <c r="F15" s="12" t="s">
        <v>686</v>
      </c>
      <c r="G15" s="12" t="s">
        <v>687</v>
      </c>
      <c r="H15" s="12" t="s">
        <v>687</v>
      </c>
      <c r="I15" s="12" t="s">
        <v>687</v>
      </c>
      <c r="J15" s="12" t="s">
        <v>686</v>
      </c>
      <c r="K15" s="21"/>
      <c r="L15" s="21"/>
      <c r="M15" s="12" t="str">
        <f aca="true">IF(02_Productos_MASTER!J15&lt;&gt;"Sí","Ocultar",IF(AND(OR(K15="",TODAY()&gt;=K15),OR(L15="",TODAY()&lt;=L15)),"Publicar","Ocultar"))</f>
        <v>Publicar</v>
      </c>
      <c r="N15" s="20" t="s">
        <v>695</v>
      </c>
      <c r="O15" s="2"/>
      <c r="P15" s="2"/>
      <c r="Q15" s="2"/>
      <c r="R15" s="2"/>
      <c r="S15" s="2"/>
      <c r="T15" s="2"/>
      <c r="U15" s="2"/>
      <c r="V15" s="2"/>
      <c r="W15" s="2"/>
      <c r="X15" s="2"/>
      <c r="Y15" s="2"/>
      <c r="Z15" s="2"/>
    </row>
    <row r="16" customFormat="false" ht="42" hidden="false" customHeight="true" outlineLevel="0" collapsed="false">
      <c r="A16" s="12" t="s">
        <v>208</v>
      </c>
      <c r="B16" s="12" t="s">
        <v>209</v>
      </c>
      <c r="C16" s="20"/>
      <c r="D16" s="12" t="str">
        <f aca="false">IF(C16="","",C16)</f>
        <v/>
      </c>
      <c r="E16" s="12" t="s">
        <v>686</v>
      </c>
      <c r="F16" s="12" t="s">
        <v>686</v>
      </c>
      <c r="G16" s="12" t="s">
        <v>687</v>
      </c>
      <c r="H16" s="12" t="s">
        <v>687</v>
      </c>
      <c r="I16" s="12" t="s">
        <v>687</v>
      </c>
      <c r="J16" s="12" t="s">
        <v>686</v>
      </c>
      <c r="K16" s="21"/>
      <c r="L16" s="21"/>
      <c r="M16" s="12" t="str">
        <f aca="true">IF(02_Productos_MASTER!J16&lt;&gt;"Sí","Ocultar",IF(AND(OR(K16="",TODAY()&gt;=K16),OR(L16="",TODAY()&lt;=L16)),"Publicar","Ocultar"))</f>
        <v>Publicar</v>
      </c>
      <c r="N16" s="20"/>
      <c r="O16" s="2"/>
      <c r="P16" s="2"/>
      <c r="Q16" s="2"/>
      <c r="R16" s="2"/>
      <c r="S16" s="2"/>
      <c r="T16" s="2"/>
      <c r="U16" s="2"/>
      <c r="V16" s="2"/>
      <c r="W16" s="2"/>
      <c r="X16" s="2"/>
      <c r="Y16" s="2"/>
      <c r="Z16" s="2"/>
    </row>
    <row r="17" customFormat="false" ht="42" hidden="false" customHeight="true" outlineLevel="0" collapsed="false">
      <c r="A17" s="12" t="s">
        <v>219</v>
      </c>
      <c r="B17" s="12" t="s">
        <v>220</v>
      </c>
      <c r="C17" s="20"/>
      <c r="D17" s="12" t="str">
        <f aca="false">IF(C17="","",C17)</f>
        <v/>
      </c>
      <c r="E17" s="12" t="s">
        <v>686</v>
      </c>
      <c r="F17" s="12" t="s">
        <v>686</v>
      </c>
      <c r="G17" s="12" t="s">
        <v>687</v>
      </c>
      <c r="H17" s="12" t="s">
        <v>687</v>
      </c>
      <c r="I17" s="12" t="s">
        <v>687</v>
      </c>
      <c r="J17" s="12" t="s">
        <v>686</v>
      </c>
      <c r="K17" s="21"/>
      <c r="L17" s="21"/>
      <c r="M17" s="12" t="str">
        <f aca="true">IF(02_Productos_MASTER!J17&lt;&gt;"Sí","Ocultar",IF(AND(OR(K17="",TODAY()&gt;=K17),OR(L17="",TODAY()&lt;=L17)),"Publicar","Ocultar"))</f>
        <v>Publicar</v>
      </c>
      <c r="N17" s="20"/>
      <c r="O17" s="2"/>
      <c r="P17" s="2"/>
      <c r="Q17" s="2"/>
      <c r="R17" s="2"/>
      <c r="S17" s="2"/>
      <c r="T17" s="2"/>
      <c r="U17" s="2"/>
      <c r="V17" s="2"/>
      <c r="W17" s="2"/>
      <c r="X17" s="2"/>
      <c r="Y17" s="2"/>
      <c r="Z17" s="2"/>
    </row>
    <row r="18" customFormat="false" ht="42" hidden="false" customHeight="true" outlineLevel="0" collapsed="false">
      <c r="A18" s="12" t="s">
        <v>230</v>
      </c>
      <c r="B18" s="12" t="s">
        <v>231</v>
      </c>
      <c r="C18" s="20"/>
      <c r="D18" s="12" t="str">
        <f aca="false">IF(C18="","",C18)</f>
        <v/>
      </c>
      <c r="E18" s="12" t="s">
        <v>686</v>
      </c>
      <c r="F18" s="12" t="s">
        <v>686</v>
      </c>
      <c r="G18" s="12" t="s">
        <v>687</v>
      </c>
      <c r="H18" s="12" t="s">
        <v>687</v>
      </c>
      <c r="I18" s="12" t="s">
        <v>687</v>
      </c>
      <c r="J18" s="12" t="s">
        <v>686</v>
      </c>
      <c r="K18" s="21"/>
      <c r="L18" s="21"/>
      <c r="M18" s="12" t="str">
        <f aca="true">IF(02_Productos_MASTER!J18&lt;&gt;"Sí","Ocultar",IF(AND(OR(K18="",TODAY()&gt;=K18),OR(L18="",TODAY()&lt;=L18)),"Publicar","Ocultar"))</f>
        <v>Publicar</v>
      </c>
      <c r="N18" s="20"/>
      <c r="O18" s="2"/>
      <c r="P18" s="2"/>
      <c r="Q18" s="2"/>
      <c r="R18" s="2"/>
      <c r="S18" s="2"/>
      <c r="T18" s="2"/>
      <c r="U18" s="2"/>
      <c r="V18" s="2"/>
      <c r="W18" s="2"/>
      <c r="X18" s="2"/>
      <c r="Y18" s="2"/>
      <c r="Z18" s="2"/>
    </row>
    <row r="19" customFormat="false" ht="42" hidden="false" customHeight="true" outlineLevel="0" collapsed="false">
      <c r="A19" s="12" t="s">
        <v>241</v>
      </c>
      <c r="B19" s="12" t="s">
        <v>242</v>
      </c>
      <c r="C19" s="20"/>
      <c r="D19" s="12" t="str">
        <f aca="false">IF(C19="","",C19)</f>
        <v/>
      </c>
      <c r="E19" s="12" t="s">
        <v>686</v>
      </c>
      <c r="F19" s="12" t="s">
        <v>686</v>
      </c>
      <c r="G19" s="12" t="s">
        <v>687</v>
      </c>
      <c r="H19" s="12" t="s">
        <v>687</v>
      </c>
      <c r="I19" s="12" t="s">
        <v>687</v>
      </c>
      <c r="J19" s="12" t="s">
        <v>686</v>
      </c>
      <c r="K19" s="21"/>
      <c r="L19" s="21"/>
      <c r="M19" s="12" t="str">
        <f aca="true">IF(02_Productos_MASTER!J19&lt;&gt;"Sí","Ocultar",IF(AND(OR(K19="",TODAY()&gt;=K19),OR(L19="",TODAY()&lt;=L19)),"Publicar","Ocultar"))</f>
        <v>Publicar</v>
      </c>
      <c r="N19" s="20"/>
      <c r="O19" s="2"/>
      <c r="P19" s="2"/>
      <c r="Q19" s="2"/>
      <c r="R19" s="2"/>
      <c r="S19" s="2"/>
      <c r="T19" s="2"/>
      <c r="U19" s="2"/>
      <c r="V19" s="2"/>
      <c r="W19" s="2"/>
      <c r="X19" s="2"/>
      <c r="Y19" s="2"/>
      <c r="Z19" s="2"/>
    </row>
    <row r="20" customFormat="false" ht="42" hidden="false" customHeight="true" outlineLevel="0" collapsed="false">
      <c r="A20" s="12" t="s">
        <v>252</v>
      </c>
      <c r="B20" s="12" t="s">
        <v>253</v>
      </c>
      <c r="C20" s="20"/>
      <c r="D20" s="12" t="str">
        <f aca="false">IF(C20="","",C20)</f>
        <v/>
      </c>
      <c r="E20" s="12" t="s">
        <v>686</v>
      </c>
      <c r="F20" s="12" t="s">
        <v>686</v>
      </c>
      <c r="G20" s="12" t="s">
        <v>687</v>
      </c>
      <c r="H20" s="12" t="s">
        <v>687</v>
      </c>
      <c r="I20" s="12" t="s">
        <v>687</v>
      </c>
      <c r="J20" s="12" t="s">
        <v>686</v>
      </c>
      <c r="K20" s="21"/>
      <c r="L20" s="21"/>
      <c r="M20" s="12" t="str">
        <f aca="true">IF(02_Productos_MASTER!J20&lt;&gt;"Sí","Ocultar",IF(AND(OR(K20="",TODAY()&gt;=K20),OR(L20="",TODAY()&lt;=L20)),"Publicar","Ocultar"))</f>
        <v>Publicar</v>
      </c>
      <c r="N20" s="20"/>
      <c r="O20" s="2"/>
      <c r="P20" s="2"/>
      <c r="Q20" s="2"/>
      <c r="R20" s="2"/>
      <c r="S20" s="2"/>
      <c r="T20" s="2"/>
      <c r="U20" s="2"/>
      <c r="V20" s="2"/>
      <c r="W20" s="2"/>
      <c r="X20" s="2"/>
      <c r="Y20" s="2"/>
      <c r="Z20" s="2"/>
    </row>
    <row r="21" customFormat="false" ht="42" hidden="false" customHeight="true" outlineLevel="0" collapsed="false">
      <c r="A21" s="12" t="s">
        <v>263</v>
      </c>
      <c r="B21" s="12" t="s">
        <v>264</v>
      </c>
      <c r="C21" s="20"/>
      <c r="D21" s="12" t="str">
        <f aca="false">IF(C21="","",C21)</f>
        <v/>
      </c>
      <c r="E21" s="12" t="s">
        <v>686</v>
      </c>
      <c r="F21" s="12" t="s">
        <v>686</v>
      </c>
      <c r="G21" s="12" t="s">
        <v>687</v>
      </c>
      <c r="H21" s="12" t="s">
        <v>687</v>
      </c>
      <c r="I21" s="12" t="s">
        <v>687</v>
      </c>
      <c r="J21" s="12" t="s">
        <v>686</v>
      </c>
      <c r="K21" s="21"/>
      <c r="L21" s="21"/>
      <c r="M21" s="12" t="str">
        <f aca="true">IF(02_Productos_MASTER!J21&lt;&gt;"Sí","Ocultar",IF(AND(OR(K21="",TODAY()&gt;=K21),OR(L21="",TODAY()&lt;=L21)),"Publicar","Ocultar"))</f>
        <v>Publicar</v>
      </c>
      <c r="N21" s="20"/>
      <c r="O21" s="2"/>
      <c r="P21" s="2"/>
      <c r="Q21" s="2"/>
      <c r="R21" s="2"/>
      <c r="S21" s="2"/>
      <c r="T21" s="2"/>
      <c r="U21" s="2"/>
      <c r="V21" s="2"/>
      <c r="W21" s="2"/>
      <c r="X21" s="2"/>
      <c r="Y21" s="2"/>
      <c r="Z21" s="2"/>
    </row>
    <row r="22" customFormat="false" ht="42" hidden="false" customHeight="true" outlineLevel="0" collapsed="false">
      <c r="A22" s="12" t="s">
        <v>274</v>
      </c>
      <c r="B22" s="12" t="s">
        <v>275</v>
      </c>
      <c r="C22" s="20"/>
      <c r="D22" s="12" t="str">
        <f aca="false">IF(C22="","",C22)</f>
        <v/>
      </c>
      <c r="E22" s="12" t="s">
        <v>686</v>
      </c>
      <c r="F22" s="12" t="s">
        <v>686</v>
      </c>
      <c r="G22" s="12" t="s">
        <v>687</v>
      </c>
      <c r="H22" s="12" t="s">
        <v>687</v>
      </c>
      <c r="I22" s="12" t="s">
        <v>687</v>
      </c>
      <c r="J22" s="12" t="s">
        <v>686</v>
      </c>
      <c r="K22" s="21"/>
      <c r="L22" s="21"/>
      <c r="M22" s="12" t="str">
        <f aca="true">IF(02_Productos_MASTER!J22&lt;&gt;"Sí","Ocultar",IF(AND(OR(K22="",TODAY()&gt;=K22),OR(L22="",TODAY()&lt;=L22)),"Publicar","Ocultar"))</f>
        <v>Publicar</v>
      </c>
      <c r="N22" s="20"/>
      <c r="O22" s="2"/>
      <c r="P22" s="2"/>
      <c r="Q22" s="2"/>
      <c r="R22" s="2"/>
      <c r="S22" s="2"/>
      <c r="T22" s="2"/>
      <c r="U22" s="2"/>
      <c r="V22" s="2"/>
      <c r="W22" s="2"/>
      <c r="X22" s="2"/>
      <c r="Y22" s="2"/>
      <c r="Z22" s="2"/>
    </row>
    <row r="23" customFormat="false" ht="42" hidden="false" customHeight="true" outlineLevel="0" collapsed="false">
      <c r="A23" s="12" t="s">
        <v>285</v>
      </c>
      <c r="B23" s="12" t="s">
        <v>286</v>
      </c>
      <c r="C23" s="20"/>
      <c r="D23" s="12" t="str">
        <f aca="false">IF(C23="","",C23)</f>
        <v/>
      </c>
      <c r="E23" s="12" t="s">
        <v>686</v>
      </c>
      <c r="F23" s="12" t="s">
        <v>686</v>
      </c>
      <c r="G23" s="12" t="s">
        <v>687</v>
      </c>
      <c r="H23" s="12" t="s">
        <v>687</v>
      </c>
      <c r="I23" s="12" t="s">
        <v>687</v>
      </c>
      <c r="J23" s="12" t="s">
        <v>686</v>
      </c>
      <c r="K23" s="21"/>
      <c r="L23" s="21"/>
      <c r="M23" s="12" t="str">
        <f aca="true">IF(02_Productos_MASTER!J23&lt;&gt;"Sí","Ocultar",IF(AND(OR(K23="",TODAY()&gt;=K23),OR(L23="",TODAY()&lt;=L23)),"Publicar","Ocultar"))</f>
        <v>Publicar</v>
      </c>
      <c r="N23" s="20"/>
      <c r="O23" s="2"/>
      <c r="P23" s="2"/>
      <c r="Q23" s="2"/>
      <c r="R23" s="2"/>
      <c r="S23" s="2"/>
      <c r="T23" s="2"/>
      <c r="U23" s="2"/>
      <c r="V23" s="2"/>
      <c r="W23" s="2"/>
      <c r="X23" s="2"/>
      <c r="Y23" s="2"/>
      <c r="Z23" s="2"/>
    </row>
    <row r="24" customFormat="false" ht="42" hidden="false" customHeight="true" outlineLevel="0" collapsed="false">
      <c r="A24" s="12" t="s">
        <v>296</v>
      </c>
      <c r="B24" s="12" t="s">
        <v>297</v>
      </c>
      <c r="C24" s="20"/>
      <c r="D24" s="12" t="str">
        <f aca="false">IF(C24="","",C24)</f>
        <v/>
      </c>
      <c r="E24" s="12" t="s">
        <v>686</v>
      </c>
      <c r="F24" s="12" t="s">
        <v>686</v>
      </c>
      <c r="G24" s="12" t="s">
        <v>687</v>
      </c>
      <c r="H24" s="12" t="s">
        <v>687</v>
      </c>
      <c r="I24" s="12" t="s">
        <v>687</v>
      </c>
      <c r="J24" s="12" t="s">
        <v>686</v>
      </c>
      <c r="K24" s="21"/>
      <c r="L24" s="21"/>
      <c r="M24" s="12" t="str">
        <f aca="true">IF(02_Productos_MASTER!J24&lt;&gt;"Sí","Ocultar",IF(AND(OR(K24="",TODAY()&gt;=K24),OR(L24="",TODAY()&lt;=L24)),"Publicar","Ocultar"))</f>
        <v>Publicar</v>
      </c>
      <c r="N24" s="20"/>
      <c r="O24" s="2"/>
      <c r="P24" s="2"/>
      <c r="Q24" s="2"/>
      <c r="R24" s="2"/>
      <c r="S24" s="2"/>
      <c r="T24" s="2"/>
      <c r="U24" s="2"/>
      <c r="V24" s="2"/>
      <c r="W24" s="2"/>
      <c r="X24" s="2"/>
      <c r="Y24" s="2"/>
      <c r="Z24" s="2"/>
    </row>
    <row r="25" customFormat="false" ht="42" hidden="false" customHeight="true" outlineLevel="0" collapsed="false">
      <c r="A25" s="12" t="s">
        <v>306</v>
      </c>
      <c r="B25" s="12" t="s">
        <v>307</v>
      </c>
      <c r="C25" s="20"/>
      <c r="D25" s="12" t="str">
        <f aca="false">IF(C25="","",C25)</f>
        <v/>
      </c>
      <c r="E25" s="12" t="s">
        <v>686</v>
      </c>
      <c r="F25" s="12" t="s">
        <v>686</v>
      </c>
      <c r="G25" s="12" t="s">
        <v>687</v>
      </c>
      <c r="H25" s="12" t="s">
        <v>687</v>
      </c>
      <c r="I25" s="12" t="s">
        <v>687</v>
      </c>
      <c r="J25" s="12" t="s">
        <v>686</v>
      </c>
      <c r="K25" s="21"/>
      <c r="L25" s="21"/>
      <c r="M25" s="12" t="str">
        <f aca="true">IF(02_Productos_MASTER!J25&lt;&gt;"Sí","Ocultar",IF(AND(OR(K25="",TODAY()&gt;=K25),OR(L25="",TODAY()&lt;=L25)),"Publicar","Ocultar"))</f>
        <v>Publicar</v>
      </c>
      <c r="N25" s="20"/>
      <c r="O25" s="2"/>
      <c r="P25" s="2"/>
      <c r="Q25" s="2"/>
      <c r="R25" s="2"/>
      <c r="S25" s="2"/>
      <c r="T25" s="2"/>
      <c r="U25" s="2"/>
      <c r="V25" s="2"/>
      <c r="W25" s="2"/>
      <c r="X25" s="2"/>
      <c r="Y25" s="2"/>
      <c r="Z25" s="2"/>
    </row>
    <row r="26" customFormat="false" ht="42" hidden="false" customHeight="true" outlineLevel="0" collapsed="false">
      <c r="A26" s="12" t="s">
        <v>316</v>
      </c>
      <c r="B26" s="12" t="s">
        <v>317</v>
      </c>
      <c r="C26" s="20"/>
      <c r="D26" s="12" t="str">
        <f aca="false">IF(C26="","",C26)</f>
        <v/>
      </c>
      <c r="E26" s="12" t="s">
        <v>686</v>
      </c>
      <c r="F26" s="12" t="s">
        <v>686</v>
      </c>
      <c r="G26" s="12" t="s">
        <v>687</v>
      </c>
      <c r="H26" s="12" t="s">
        <v>687</v>
      </c>
      <c r="I26" s="12" t="s">
        <v>687</v>
      </c>
      <c r="J26" s="12" t="s">
        <v>686</v>
      </c>
      <c r="K26" s="21"/>
      <c r="L26" s="21"/>
      <c r="M26" s="12" t="str">
        <f aca="true">IF(02_Productos_MASTER!J26&lt;&gt;"Sí","Ocultar",IF(AND(OR(K26="",TODAY()&gt;=K26),OR(L26="",TODAY()&lt;=L26)),"Publicar","Ocultar"))</f>
        <v>Publicar</v>
      </c>
      <c r="N26" s="20"/>
      <c r="O26" s="2"/>
      <c r="P26" s="2"/>
      <c r="Q26" s="2"/>
      <c r="R26" s="2"/>
      <c r="S26" s="2"/>
      <c r="T26" s="2"/>
      <c r="U26" s="2"/>
      <c r="V26" s="2"/>
      <c r="W26" s="2"/>
      <c r="X26" s="2"/>
      <c r="Y26" s="2"/>
      <c r="Z26" s="2"/>
    </row>
    <row r="27" customFormat="false" ht="42" hidden="false" customHeight="true" outlineLevel="0" collapsed="false">
      <c r="A27" s="12" t="s">
        <v>325</v>
      </c>
      <c r="B27" s="12" t="s">
        <v>326</v>
      </c>
      <c r="C27" s="20"/>
      <c r="D27" s="12" t="str">
        <f aca="false">IF(C27="","",C27)</f>
        <v/>
      </c>
      <c r="E27" s="12" t="s">
        <v>686</v>
      </c>
      <c r="F27" s="12" t="s">
        <v>686</v>
      </c>
      <c r="G27" s="12" t="s">
        <v>687</v>
      </c>
      <c r="H27" s="12" t="s">
        <v>687</v>
      </c>
      <c r="I27" s="12" t="s">
        <v>687</v>
      </c>
      <c r="J27" s="12" t="s">
        <v>686</v>
      </c>
      <c r="K27" s="21"/>
      <c r="L27" s="21"/>
      <c r="M27" s="12" t="str">
        <f aca="true">IF(02_Productos_MASTER!J27&lt;&gt;"Sí","Ocultar",IF(AND(OR(K27="",TODAY()&gt;=K27),OR(L27="",TODAY()&lt;=L27)),"Publicar","Ocultar"))</f>
        <v>Publicar</v>
      </c>
      <c r="N27" s="20"/>
      <c r="O27" s="2"/>
      <c r="P27" s="2"/>
      <c r="Q27" s="2"/>
      <c r="R27" s="2"/>
      <c r="S27" s="2"/>
      <c r="T27" s="2"/>
      <c r="U27" s="2"/>
      <c r="V27" s="2"/>
      <c r="W27" s="2"/>
      <c r="X27" s="2"/>
      <c r="Y27" s="2"/>
      <c r="Z27" s="2"/>
    </row>
    <row r="28" customFormat="false" ht="42" hidden="false" customHeight="true" outlineLevel="0" collapsed="false">
      <c r="A28" s="12" t="s">
        <v>334</v>
      </c>
      <c r="B28" s="12" t="s">
        <v>335</v>
      </c>
      <c r="C28" s="20"/>
      <c r="D28" s="12" t="str">
        <f aca="false">IF(C28="","",C28)</f>
        <v/>
      </c>
      <c r="E28" s="12" t="s">
        <v>686</v>
      </c>
      <c r="F28" s="12" t="s">
        <v>686</v>
      </c>
      <c r="G28" s="12" t="s">
        <v>687</v>
      </c>
      <c r="H28" s="12" t="s">
        <v>687</v>
      </c>
      <c r="I28" s="12" t="s">
        <v>687</v>
      </c>
      <c r="J28" s="12" t="s">
        <v>686</v>
      </c>
      <c r="K28" s="21"/>
      <c r="L28" s="21"/>
      <c r="M28" s="12" t="str">
        <f aca="true">IF(02_Productos_MASTER!J28&lt;&gt;"Sí","Ocultar",IF(AND(OR(K28="",TODAY()&gt;=K28),OR(L28="",TODAY()&lt;=L28)),"Publicar","Ocultar"))</f>
        <v>Publicar</v>
      </c>
      <c r="N28" s="20"/>
      <c r="O28" s="2"/>
      <c r="P28" s="2"/>
      <c r="Q28" s="2"/>
      <c r="R28" s="2"/>
      <c r="S28" s="2"/>
      <c r="T28" s="2"/>
      <c r="U28" s="2"/>
      <c r="V28" s="2"/>
      <c r="W28" s="2"/>
      <c r="X28" s="2"/>
      <c r="Y28" s="2"/>
      <c r="Z28" s="2"/>
    </row>
    <row r="29" customFormat="false" ht="42" hidden="false" customHeight="true" outlineLevel="0" collapsed="false">
      <c r="A29" s="12" t="s">
        <v>345</v>
      </c>
      <c r="B29" s="12" t="s">
        <v>346</v>
      </c>
      <c r="C29" s="20"/>
      <c r="D29" s="12" t="str">
        <f aca="false">IF(C29="","",C29)</f>
        <v/>
      </c>
      <c r="E29" s="12" t="s">
        <v>686</v>
      </c>
      <c r="F29" s="12" t="s">
        <v>686</v>
      </c>
      <c r="G29" s="12" t="s">
        <v>687</v>
      </c>
      <c r="H29" s="12" t="s">
        <v>687</v>
      </c>
      <c r="I29" s="12" t="s">
        <v>687</v>
      </c>
      <c r="J29" s="12" t="s">
        <v>686</v>
      </c>
      <c r="K29" s="21"/>
      <c r="L29" s="21"/>
      <c r="M29" s="12" t="str">
        <f aca="true">IF(02_Productos_MASTER!J29&lt;&gt;"Sí","Ocultar",IF(AND(OR(K29="",TODAY()&gt;=K29),OR(L29="",TODAY()&lt;=L29)),"Publicar","Ocultar"))</f>
        <v>Publicar</v>
      </c>
      <c r="N29" s="20"/>
      <c r="O29" s="2"/>
      <c r="P29" s="2"/>
      <c r="Q29" s="2"/>
      <c r="R29" s="2"/>
      <c r="S29" s="2"/>
      <c r="T29" s="2"/>
      <c r="U29" s="2"/>
      <c r="V29" s="2"/>
      <c r="W29" s="2"/>
      <c r="X29" s="2"/>
      <c r="Y29" s="2"/>
      <c r="Z29" s="2"/>
    </row>
    <row r="30" customFormat="false" ht="42" hidden="false" customHeight="true" outlineLevel="0" collapsed="false">
      <c r="A30" s="12" t="s">
        <v>355</v>
      </c>
      <c r="B30" s="12" t="s">
        <v>356</v>
      </c>
      <c r="C30" s="20"/>
      <c r="D30" s="12" t="str">
        <f aca="false">IF(C30="","",C30)</f>
        <v/>
      </c>
      <c r="E30" s="12" t="s">
        <v>686</v>
      </c>
      <c r="F30" s="12" t="s">
        <v>686</v>
      </c>
      <c r="G30" s="12" t="s">
        <v>687</v>
      </c>
      <c r="H30" s="12" t="s">
        <v>687</v>
      </c>
      <c r="I30" s="12" t="s">
        <v>687</v>
      </c>
      <c r="J30" s="12" t="s">
        <v>686</v>
      </c>
      <c r="K30" s="21"/>
      <c r="L30" s="21"/>
      <c r="M30" s="12" t="str">
        <f aca="true">IF(02_Productos_MASTER!J30&lt;&gt;"Sí","Ocultar",IF(AND(OR(K30="",TODAY()&gt;=K30),OR(L30="",TODAY()&lt;=L30)),"Publicar","Ocultar"))</f>
        <v>Publicar</v>
      </c>
      <c r="N30" s="20"/>
      <c r="O30" s="2"/>
      <c r="P30" s="2"/>
      <c r="Q30" s="2"/>
      <c r="R30" s="2"/>
      <c r="S30" s="2"/>
      <c r="T30" s="2"/>
      <c r="U30" s="2"/>
      <c r="V30" s="2"/>
      <c r="W30" s="2"/>
      <c r="X30" s="2"/>
      <c r="Y30" s="2"/>
      <c r="Z30" s="2"/>
    </row>
    <row r="31" customFormat="false" ht="42" hidden="false" customHeight="true" outlineLevel="0" collapsed="false">
      <c r="A31" s="12" t="s">
        <v>362</v>
      </c>
      <c r="B31" s="12" t="s">
        <v>363</v>
      </c>
      <c r="C31" s="20"/>
      <c r="D31" s="12" t="str">
        <f aca="false">IF(C31="","",C31)</f>
        <v/>
      </c>
      <c r="E31" s="12" t="s">
        <v>686</v>
      </c>
      <c r="F31" s="12" t="s">
        <v>686</v>
      </c>
      <c r="G31" s="12" t="s">
        <v>687</v>
      </c>
      <c r="H31" s="12" t="s">
        <v>687</v>
      </c>
      <c r="I31" s="12" t="s">
        <v>687</v>
      </c>
      <c r="J31" s="12" t="s">
        <v>686</v>
      </c>
      <c r="K31" s="21"/>
      <c r="L31" s="21"/>
      <c r="M31" s="12" t="str">
        <f aca="true">IF(02_Productos_MASTER!J31&lt;&gt;"Sí","Ocultar",IF(AND(OR(K31="",TODAY()&gt;=K31),OR(L31="",TODAY()&lt;=L31)),"Publicar","Ocultar"))</f>
        <v>Publicar</v>
      </c>
      <c r="N31" s="20"/>
      <c r="O31" s="2"/>
      <c r="P31" s="2"/>
      <c r="Q31" s="2"/>
      <c r="R31" s="2"/>
      <c r="S31" s="2"/>
      <c r="T31" s="2"/>
      <c r="U31" s="2"/>
      <c r="V31" s="2"/>
      <c r="W31" s="2"/>
      <c r="X31" s="2"/>
      <c r="Y31" s="2"/>
      <c r="Z31" s="2"/>
    </row>
    <row r="32" customFormat="false" ht="42" hidden="false" customHeight="true" outlineLevel="0" collapsed="false">
      <c r="A32" s="12" t="s">
        <v>369</v>
      </c>
      <c r="B32" s="12" t="s">
        <v>370</v>
      </c>
      <c r="C32" s="20"/>
      <c r="D32" s="12" t="str">
        <f aca="false">IF(C32="","",C32)</f>
        <v/>
      </c>
      <c r="E32" s="12" t="s">
        <v>686</v>
      </c>
      <c r="F32" s="12" t="s">
        <v>686</v>
      </c>
      <c r="G32" s="12" t="s">
        <v>687</v>
      </c>
      <c r="H32" s="12" t="s">
        <v>687</v>
      </c>
      <c r="I32" s="12" t="s">
        <v>687</v>
      </c>
      <c r="J32" s="12" t="s">
        <v>686</v>
      </c>
      <c r="K32" s="21"/>
      <c r="L32" s="21"/>
      <c r="M32" s="12" t="str">
        <f aca="true">IF(02_Productos_MASTER!J32&lt;&gt;"Sí","Ocultar",IF(AND(OR(K32="",TODAY()&gt;=K32),OR(L32="",TODAY()&lt;=L32)),"Publicar","Ocultar"))</f>
        <v>Publicar</v>
      </c>
      <c r="N32" s="20"/>
      <c r="O32" s="2"/>
      <c r="P32" s="2"/>
      <c r="Q32" s="2"/>
      <c r="R32" s="2"/>
      <c r="S32" s="2"/>
      <c r="T32" s="2"/>
      <c r="U32" s="2"/>
      <c r="V32" s="2"/>
      <c r="W32" s="2"/>
      <c r="X32" s="2"/>
      <c r="Y32" s="2"/>
      <c r="Z32" s="2"/>
    </row>
    <row r="33" customFormat="false" ht="42" hidden="false" customHeight="true" outlineLevel="0" collapsed="false">
      <c r="A33" s="12" t="s">
        <v>378</v>
      </c>
      <c r="B33" s="12" t="s">
        <v>379</v>
      </c>
      <c r="C33" s="20"/>
      <c r="D33" s="12" t="str">
        <f aca="false">IF(C33="","",C33)</f>
        <v/>
      </c>
      <c r="E33" s="12" t="s">
        <v>686</v>
      </c>
      <c r="F33" s="12" t="s">
        <v>686</v>
      </c>
      <c r="G33" s="12" t="s">
        <v>687</v>
      </c>
      <c r="H33" s="12" t="s">
        <v>687</v>
      </c>
      <c r="I33" s="12" t="s">
        <v>687</v>
      </c>
      <c r="J33" s="12" t="s">
        <v>686</v>
      </c>
      <c r="K33" s="21"/>
      <c r="L33" s="21"/>
      <c r="M33" s="12" t="str">
        <f aca="true">IF(02_Productos_MASTER!J33&lt;&gt;"Sí","Ocultar",IF(AND(OR(K33="",TODAY()&gt;=K33),OR(L33="",TODAY()&lt;=L33)),"Publicar","Ocultar"))</f>
        <v>Publicar</v>
      </c>
      <c r="N33" s="20"/>
      <c r="O33" s="2"/>
      <c r="P33" s="2"/>
      <c r="Q33" s="2"/>
      <c r="R33" s="2"/>
      <c r="S33" s="2"/>
      <c r="T33" s="2"/>
      <c r="U33" s="2"/>
      <c r="V33" s="2"/>
      <c r="W33" s="2"/>
      <c r="X33" s="2"/>
      <c r="Y33" s="2"/>
      <c r="Z33" s="2"/>
    </row>
    <row r="34" customFormat="false" ht="42" hidden="false" customHeight="true" outlineLevel="0" collapsed="false">
      <c r="A34" s="12" t="s">
        <v>387</v>
      </c>
      <c r="B34" s="12" t="s">
        <v>388</v>
      </c>
      <c r="C34" s="20"/>
      <c r="D34" s="12" t="str">
        <f aca="false">IF(C34="","",C34)</f>
        <v/>
      </c>
      <c r="E34" s="12" t="s">
        <v>686</v>
      </c>
      <c r="F34" s="12" t="s">
        <v>686</v>
      </c>
      <c r="G34" s="12" t="s">
        <v>687</v>
      </c>
      <c r="H34" s="12" t="s">
        <v>687</v>
      </c>
      <c r="I34" s="12" t="s">
        <v>687</v>
      </c>
      <c r="J34" s="12" t="s">
        <v>686</v>
      </c>
      <c r="K34" s="21"/>
      <c r="L34" s="21"/>
      <c r="M34" s="12" t="str">
        <f aca="true">IF(02_Productos_MASTER!J34&lt;&gt;"Sí","Ocultar",IF(AND(OR(K34="",TODAY()&gt;=K34),OR(L34="",TODAY()&lt;=L34)),"Publicar","Ocultar"))</f>
        <v>Publicar</v>
      </c>
      <c r="N34" s="20"/>
      <c r="O34" s="2"/>
      <c r="P34" s="2"/>
      <c r="Q34" s="2"/>
      <c r="R34" s="2"/>
      <c r="S34" s="2"/>
      <c r="T34" s="2"/>
      <c r="U34" s="2"/>
      <c r="V34" s="2"/>
      <c r="W34" s="2"/>
      <c r="X34" s="2"/>
      <c r="Y34" s="2"/>
      <c r="Z34" s="2"/>
    </row>
    <row r="35" customFormat="false" ht="42" hidden="false" customHeight="true" outlineLevel="0" collapsed="false">
      <c r="A35" s="12" t="s">
        <v>396</v>
      </c>
      <c r="B35" s="12" t="s">
        <v>397</v>
      </c>
      <c r="C35" s="20"/>
      <c r="D35" s="12" t="str">
        <f aca="false">IF(C35="","",C35)</f>
        <v/>
      </c>
      <c r="E35" s="12" t="s">
        <v>686</v>
      </c>
      <c r="F35" s="12" t="s">
        <v>686</v>
      </c>
      <c r="G35" s="12" t="s">
        <v>687</v>
      </c>
      <c r="H35" s="12" t="s">
        <v>687</v>
      </c>
      <c r="I35" s="12" t="s">
        <v>687</v>
      </c>
      <c r="J35" s="12" t="s">
        <v>686</v>
      </c>
      <c r="K35" s="21"/>
      <c r="L35" s="21"/>
      <c r="M35" s="12" t="str">
        <f aca="true">IF(02_Productos_MASTER!J35&lt;&gt;"Sí","Ocultar",IF(AND(OR(K35="",TODAY()&gt;=K35),OR(L35="",TODAY()&lt;=L35)),"Publicar","Ocultar"))</f>
        <v>Publicar</v>
      </c>
      <c r="N35" s="20"/>
      <c r="O35" s="2"/>
      <c r="P35" s="2"/>
      <c r="Q35" s="2"/>
      <c r="R35" s="2"/>
      <c r="S35" s="2"/>
      <c r="T35" s="2"/>
      <c r="U35" s="2"/>
      <c r="V35" s="2"/>
      <c r="W35" s="2"/>
      <c r="X35" s="2"/>
      <c r="Y35" s="2"/>
      <c r="Z35" s="2"/>
    </row>
    <row r="36" customFormat="false" ht="42" hidden="false" customHeight="true" outlineLevel="0" collapsed="false">
      <c r="A36" s="12" t="s">
        <v>407</v>
      </c>
      <c r="B36" s="12" t="s">
        <v>408</v>
      </c>
      <c r="C36" s="20"/>
      <c r="D36" s="12" t="str">
        <f aca="false">IF(C36="","",C36)</f>
        <v/>
      </c>
      <c r="E36" s="12" t="s">
        <v>686</v>
      </c>
      <c r="F36" s="12" t="s">
        <v>686</v>
      </c>
      <c r="G36" s="12" t="s">
        <v>687</v>
      </c>
      <c r="H36" s="12" t="s">
        <v>687</v>
      </c>
      <c r="I36" s="12" t="s">
        <v>687</v>
      </c>
      <c r="J36" s="12" t="s">
        <v>686</v>
      </c>
      <c r="K36" s="21"/>
      <c r="L36" s="21"/>
      <c r="M36" s="12" t="str">
        <f aca="true">IF(02_Productos_MASTER!J36&lt;&gt;"Sí","Ocultar",IF(AND(OR(K36="",TODAY()&gt;=K36),OR(L36="",TODAY()&lt;=L36)),"Publicar","Ocultar"))</f>
        <v>Publicar</v>
      </c>
      <c r="N36" s="20" t="s">
        <v>709</v>
      </c>
      <c r="O36" s="2"/>
      <c r="P36" s="2"/>
      <c r="Q36" s="2"/>
      <c r="R36" s="2"/>
      <c r="S36" s="2"/>
      <c r="T36" s="2"/>
      <c r="U36" s="2"/>
      <c r="V36" s="2"/>
      <c r="W36" s="2"/>
      <c r="X36" s="2"/>
      <c r="Y36" s="2"/>
      <c r="Z36" s="2"/>
    </row>
    <row r="37" customFormat="false" ht="42" hidden="false" customHeight="true" outlineLevel="0" collapsed="false">
      <c r="A37" s="12" t="s">
        <v>418</v>
      </c>
      <c r="B37" s="12" t="s">
        <v>419</v>
      </c>
      <c r="C37" s="20"/>
      <c r="D37" s="12" t="str">
        <f aca="false">IF(C37="","",C37)</f>
        <v/>
      </c>
      <c r="E37" s="12" t="s">
        <v>686</v>
      </c>
      <c r="F37" s="12" t="s">
        <v>686</v>
      </c>
      <c r="G37" s="12" t="s">
        <v>687</v>
      </c>
      <c r="H37" s="12" t="s">
        <v>687</v>
      </c>
      <c r="I37" s="12" t="s">
        <v>687</v>
      </c>
      <c r="J37" s="12" t="s">
        <v>686</v>
      </c>
      <c r="K37" s="21"/>
      <c r="L37" s="21"/>
      <c r="M37" s="12" t="str">
        <f aca="true">IF(02_Productos_MASTER!J37&lt;&gt;"Sí","Ocultar",IF(AND(OR(K37="",TODAY()&gt;=K37),OR(L37="",TODAY()&lt;=L37)),"Publicar","Ocultar"))</f>
        <v>Publicar</v>
      </c>
      <c r="N37" s="20"/>
      <c r="O37" s="2"/>
      <c r="P37" s="2"/>
      <c r="Q37" s="2"/>
      <c r="R37" s="2"/>
      <c r="S37" s="2"/>
      <c r="T37" s="2"/>
      <c r="U37" s="2"/>
      <c r="V37" s="2"/>
      <c r="W37" s="2"/>
      <c r="X37" s="2"/>
      <c r="Y37" s="2"/>
      <c r="Z37" s="2"/>
    </row>
    <row r="38" customFormat="false" ht="42" hidden="false" customHeight="true" outlineLevel="0" collapsed="false">
      <c r="A38" s="12" t="s">
        <v>429</v>
      </c>
      <c r="B38" s="12" t="s">
        <v>430</v>
      </c>
      <c r="C38" s="20"/>
      <c r="D38" s="12" t="str">
        <f aca="false">IF(C38="","",C38)</f>
        <v/>
      </c>
      <c r="E38" s="12" t="s">
        <v>686</v>
      </c>
      <c r="F38" s="12" t="s">
        <v>686</v>
      </c>
      <c r="G38" s="12" t="s">
        <v>687</v>
      </c>
      <c r="H38" s="12" t="s">
        <v>687</v>
      </c>
      <c r="I38" s="12" t="s">
        <v>687</v>
      </c>
      <c r="J38" s="12" t="s">
        <v>686</v>
      </c>
      <c r="K38" s="21"/>
      <c r="L38" s="21"/>
      <c r="M38" s="12" t="str">
        <f aca="true">IF(02_Productos_MASTER!J38&lt;&gt;"Sí","Ocultar",IF(AND(OR(K38="",TODAY()&gt;=K38),OR(L38="",TODAY()&lt;=L38)),"Publicar","Ocultar"))</f>
        <v>Publicar</v>
      </c>
      <c r="N38" s="20"/>
      <c r="O38" s="2"/>
      <c r="P38" s="2"/>
      <c r="Q38" s="2"/>
      <c r="R38" s="2"/>
      <c r="S38" s="2"/>
      <c r="T38" s="2"/>
      <c r="U38" s="2"/>
      <c r="V38" s="2"/>
      <c r="W38" s="2"/>
      <c r="X38" s="2"/>
      <c r="Y38" s="2"/>
      <c r="Z38" s="2"/>
    </row>
    <row r="39" customFormat="false" ht="42" hidden="false" customHeight="true" outlineLevel="0" collapsed="false">
      <c r="A39" s="12" t="s">
        <v>439</v>
      </c>
      <c r="B39" s="12" t="s">
        <v>440</v>
      </c>
      <c r="C39" s="20"/>
      <c r="D39" s="12" t="str">
        <f aca="false">IF(C39="","",C39)</f>
        <v/>
      </c>
      <c r="E39" s="12" t="s">
        <v>686</v>
      </c>
      <c r="F39" s="12" t="s">
        <v>686</v>
      </c>
      <c r="G39" s="12" t="s">
        <v>687</v>
      </c>
      <c r="H39" s="12" t="s">
        <v>687</v>
      </c>
      <c r="I39" s="12" t="s">
        <v>687</v>
      </c>
      <c r="J39" s="12" t="s">
        <v>686</v>
      </c>
      <c r="K39" s="21"/>
      <c r="L39" s="21"/>
      <c r="M39" s="12" t="str">
        <f aca="true">IF(02_Productos_MASTER!J39&lt;&gt;"Sí","Ocultar",IF(AND(OR(K39="",TODAY()&gt;=K39),OR(L39="",TODAY()&lt;=L39)),"Publicar","Ocultar"))</f>
        <v>Publicar</v>
      </c>
      <c r="N39" s="20"/>
      <c r="O39" s="2"/>
      <c r="P39" s="2"/>
      <c r="Q39" s="2"/>
      <c r="R39" s="2"/>
      <c r="S39" s="2"/>
      <c r="T39" s="2"/>
      <c r="U39" s="2"/>
      <c r="V39" s="2"/>
      <c r="W39" s="2"/>
      <c r="X39" s="2"/>
      <c r="Y39" s="2"/>
      <c r="Z39" s="2"/>
    </row>
    <row r="40" customFormat="false" ht="42" hidden="false" customHeight="true" outlineLevel="0" collapsed="false">
      <c r="A40" s="12" t="s">
        <v>450</v>
      </c>
      <c r="B40" s="12" t="s">
        <v>451</v>
      </c>
      <c r="C40" s="20"/>
      <c r="D40" s="12" t="str">
        <f aca="false">IF(C40="","",C40)</f>
        <v/>
      </c>
      <c r="E40" s="12" t="s">
        <v>686</v>
      </c>
      <c r="F40" s="12" t="s">
        <v>686</v>
      </c>
      <c r="G40" s="12" t="s">
        <v>687</v>
      </c>
      <c r="H40" s="12" t="s">
        <v>687</v>
      </c>
      <c r="I40" s="12" t="s">
        <v>687</v>
      </c>
      <c r="J40" s="12" t="s">
        <v>686</v>
      </c>
      <c r="K40" s="21"/>
      <c r="L40" s="21"/>
      <c r="M40" s="12" t="str">
        <f aca="true">IF(02_Productos_MASTER!J40&lt;&gt;"Sí","Ocultar",IF(AND(OR(K40="",TODAY()&gt;=K40),OR(L40="",TODAY()&lt;=L40)),"Publicar","Ocultar"))</f>
        <v>Publicar</v>
      </c>
      <c r="N40" s="20"/>
      <c r="O40" s="2"/>
      <c r="P40" s="2"/>
      <c r="Q40" s="2"/>
      <c r="R40" s="2"/>
      <c r="S40" s="2"/>
      <c r="T40" s="2"/>
      <c r="U40" s="2"/>
      <c r="V40" s="2"/>
      <c r="W40" s="2"/>
      <c r="X40" s="2"/>
      <c r="Y40" s="2"/>
      <c r="Z40" s="2"/>
    </row>
    <row r="41" customFormat="false" ht="42" hidden="false" customHeight="true" outlineLevel="0" collapsed="false">
      <c r="A41" s="12" t="s">
        <v>461</v>
      </c>
      <c r="B41" s="12" t="s">
        <v>462</v>
      </c>
      <c r="C41" s="20"/>
      <c r="D41" s="12" t="str">
        <f aca="false">IF(C41="","",C41)</f>
        <v/>
      </c>
      <c r="E41" s="12" t="s">
        <v>686</v>
      </c>
      <c r="F41" s="12" t="s">
        <v>686</v>
      </c>
      <c r="G41" s="12" t="s">
        <v>687</v>
      </c>
      <c r="H41" s="12" t="s">
        <v>687</v>
      </c>
      <c r="I41" s="12" t="s">
        <v>687</v>
      </c>
      <c r="J41" s="12" t="s">
        <v>686</v>
      </c>
      <c r="K41" s="21"/>
      <c r="L41" s="21"/>
      <c r="M41" s="12" t="str">
        <f aca="true">IF(02_Productos_MASTER!J41&lt;&gt;"Sí","Ocultar",IF(AND(OR(K41="",TODAY()&gt;=K41),OR(L41="",TODAY()&lt;=L41)),"Publicar","Ocultar"))</f>
        <v>Publicar</v>
      </c>
      <c r="N41" s="20"/>
      <c r="O41" s="2"/>
      <c r="P41" s="2"/>
      <c r="Q41" s="2"/>
      <c r="R41" s="2"/>
      <c r="S41" s="2"/>
      <c r="T41" s="2"/>
      <c r="U41" s="2"/>
      <c r="V41" s="2"/>
      <c r="W41" s="2"/>
      <c r="X41" s="2"/>
      <c r="Y41" s="2"/>
      <c r="Z41" s="2"/>
    </row>
    <row r="42" customFormat="false" ht="42" hidden="false" customHeight="true" outlineLevel="0" collapsed="false">
      <c r="A42" s="12" t="s">
        <v>471</v>
      </c>
      <c r="B42" s="12" t="s">
        <v>472</v>
      </c>
      <c r="C42" s="20"/>
      <c r="D42" s="12" t="str">
        <f aca="false">IF(C42="","",C42)</f>
        <v/>
      </c>
      <c r="E42" s="12" t="s">
        <v>686</v>
      </c>
      <c r="F42" s="12" t="s">
        <v>686</v>
      </c>
      <c r="G42" s="12" t="s">
        <v>687</v>
      </c>
      <c r="H42" s="12" t="s">
        <v>687</v>
      </c>
      <c r="I42" s="12" t="s">
        <v>687</v>
      </c>
      <c r="J42" s="12" t="s">
        <v>686</v>
      </c>
      <c r="K42" s="21"/>
      <c r="L42" s="21"/>
      <c r="M42" s="12" t="str">
        <f aca="true">IF(02_Productos_MASTER!J42&lt;&gt;"Sí","Ocultar",IF(AND(OR(K42="",TODAY()&gt;=K42),OR(L42="",TODAY()&lt;=L42)),"Publicar","Ocultar"))</f>
        <v>Publicar</v>
      </c>
      <c r="N42" s="20"/>
      <c r="O42" s="2"/>
      <c r="P42" s="2"/>
      <c r="Q42" s="2"/>
      <c r="R42" s="2"/>
      <c r="S42" s="2"/>
      <c r="T42" s="2"/>
      <c r="U42" s="2"/>
      <c r="V42" s="2"/>
      <c r="W42" s="2"/>
      <c r="X42" s="2"/>
      <c r="Y42" s="2"/>
      <c r="Z42" s="2"/>
    </row>
    <row r="43" customFormat="false" ht="42" hidden="false" customHeight="true" outlineLevel="0" collapsed="false">
      <c r="A43" s="12" t="s">
        <v>482</v>
      </c>
      <c r="B43" s="12" t="s">
        <v>483</v>
      </c>
      <c r="C43" s="20"/>
      <c r="D43" s="12" t="str">
        <f aca="false">IF(C43="","",C43)</f>
        <v/>
      </c>
      <c r="E43" s="12" t="s">
        <v>686</v>
      </c>
      <c r="F43" s="12" t="s">
        <v>686</v>
      </c>
      <c r="G43" s="12" t="s">
        <v>687</v>
      </c>
      <c r="H43" s="12" t="s">
        <v>687</v>
      </c>
      <c r="I43" s="12" t="s">
        <v>687</v>
      </c>
      <c r="J43" s="12" t="s">
        <v>686</v>
      </c>
      <c r="K43" s="21"/>
      <c r="L43" s="21"/>
      <c r="M43" s="12" t="str">
        <f aca="true">IF(02_Productos_MASTER!J43&lt;&gt;"Sí","Ocultar",IF(AND(OR(K43="",TODAY()&gt;=K43),OR(L43="",TODAY()&lt;=L43)),"Publicar","Ocultar"))</f>
        <v>Publicar</v>
      </c>
      <c r="N43" s="20"/>
      <c r="O43" s="2"/>
      <c r="P43" s="2"/>
      <c r="Q43" s="2"/>
      <c r="R43" s="2"/>
      <c r="S43" s="2"/>
      <c r="T43" s="2"/>
      <c r="U43" s="2"/>
      <c r="V43" s="2"/>
      <c r="W43" s="2"/>
      <c r="X43" s="2"/>
      <c r="Y43" s="2"/>
      <c r="Z43" s="2"/>
    </row>
    <row r="44" customFormat="false" ht="42" hidden="false" customHeight="true" outlineLevel="0" collapsed="false">
      <c r="A44" s="12" t="s">
        <v>493</v>
      </c>
      <c r="B44" s="12" t="s">
        <v>494</v>
      </c>
      <c r="C44" s="20"/>
      <c r="D44" s="12" t="str">
        <f aca="false">IF(C44="","",C44)</f>
        <v/>
      </c>
      <c r="E44" s="12" t="s">
        <v>686</v>
      </c>
      <c r="F44" s="12" t="s">
        <v>686</v>
      </c>
      <c r="G44" s="12" t="s">
        <v>687</v>
      </c>
      <c r="H44" s="12" t="s">
        <v>687</v>
      </c>
      <c r="I44" s="12" t="s">
        <v>687</v>
      </c>
      <c r="J44" s="12" t="s">
        <v>686</v>
      </c>
      <c r="K44" s="21"/>
      <c r="L44" s="21"/>
      <c r="M44" s="12" t="str">
        <f aca="true">IF(02_Productos_MASTER!J44&lt;&gt;"Sí","Ocultar",IF(AND(OR(K44="",TODAY()&gt;=K44),OR(L44="",TODAY()&lt;=L44)),"Publicar","Ocultar"))</f>
        <v>Publicar</v>
      </c>
      <c r="N44" s="20" t="s">
        <v>713</v>
      </c>
      <c r="O44" s="2"/>
      <c r="P44" s="2"/>
      <c r="Q44" s="2"/>
      <c r="R44" s="2"/>
      <c r="S44" s="2"/>
      <c r="T44" s="2"/>
      <c r="U44" s="2"/>
      <c r="V44" s="2"/>
      <c r="W44" s="2"/>
      <c r="X44" s="2"/>
      <c r="Y44" s="2"/>
      <c r="Z44" s="2"/>
    </row>
    <row r="45" customFormat="false" ht="42" hidden="false" customHeight="true" outlineLevel="0" collapsed="false">
      <c r="A45" s="12" t="s">
        <v>504</v>
      </c>
      <c r="B45" s="12" t="s">
        <v>505</v>
      </c>
      <c r="C45" s="20"/>
      <c r="D45" s="12" t="str">
        <f aca="false">IF(C45="","",C45)</f>
        <v/>
      </c>
      <c r="E45" s="12" t="s">
        <v>686</v>
      </c>
      <c r="F45" s="12" t="s">
        <v>686</v>
      </c>
      <c r="G45" s="12" t="s">
        <v>687</v>
      </c>
      <c r="H45" s="12" t="s">
        <v>687</v>
      </c>
      <c r="I45" s="12" t="s">
        <v>687</v>
      </c>
      <c r="J45" s="12" t="s">
        <v>686</v>
      </c>
      <c r="K45" s="21"/>
      <c r="L45" s="21"/>
      <c r="M45" s="12" t="str">
        <f aca="true">IF(02_Productos_MASTER!J45&lt;&gt;"Sí","Ocultar",IF(AND(OR(K45="",TODAY()&gt;=K45),OR(L45="",TODAY()&lt;=L45)),"Publicar","Ocultar"))</f>
        <v>Publicar</v>
      </c>
      <c r="N45" s="20" t="s">
        <v>713</v>
      </c>
      <c r="O45" s="2"/>
      <c r="P45" s="2"/>
      <c r="Q45" s="2"/>
      <c r="R45" s="2"/>
      <c r="S45" s="2"/>
      <c r="T45" s="2"/>
      <c r="U45" s="2"/>
      <c r="V45" s="2"/>
      <c r="W45" s="2"/>
      <c r="X45" s="2"/>
      <c r="Y45" s="2"/>
      <c r="Z45" s="2"/>
    </row>
    <row r="46" customFormat="false" ht="42" hidden="false" customHeight="true" outlineLevel="0" collapsed="false">
      <c r="A46" s="12" t="s">
        <v>515</v>
      </c>
      <c r="B46" s="12" t="s">
        <v>516</v>
      </c>
      <c r="C46" s="20"/>
      <c r="D46" s="12" t="str">
        <f aca="false">IF(C46="","",C46)</f>
        <v/>
      </c>
      <c r="E46" s="12" t="s">
        <v>686</v>
      </c>
      <c r="F46" s="12" t="s">
        <v>686</v>
      </c>
      <c r="G46" s="12" t="s">
        <v>687</v>
      </c>
      <c r="H46" s="12" t="s">
        <v>687</v>
      </c>
      <c r="I46" s="12" t="s">
        <v>687</v>
      </c>
      <c r="J46" s="12" t="s">
        <v>686</v>
      </c>
      <c r="K46" s="21"/>
      <c r="L46" s="21"/>
      <c r="M46" s="12" t="str">
        <f aca="true">IF(02_Productos_MASTER!J46&lt;&gt;"Sí","Ocultar",IF(AND(OR(K46="",TODAY()&gt;=K46),OR(L46="",TODAY()&lt;=L46)),"Publicar","Ocultar"))</f>
        <v>Publicar</v>
      </c>
      <c r="N46" s="20" t="s">
        <v>713</v>
      </c>
      <c r="O46" s="2"/>
      <c r="P46" s="2"/>
      <c r="Q46" s="2"/>
      <c r="R46" s="2"/>
      <c r="S46" s="2"/>
      <c r="T46" s="2"/>
      <c r="U46" s="2"/>
      <c r="V46" s="2"/>
      <c r="W46" s="2"/>
      <c r="X46" s="2"/>
      <c r="Y46" s="2"/>
      <c r="Z46" s="2"/>
    </row>
    <row r="47" customFormat="false" ht="42" hidden="false" customHeight="true" outlineLevel="0" collapsed="false">
      <c r="A47" s="12" t="s">
        <v>526</v>
      </c>
      <c r="B47" s="12" t="s">
        <v>527</v>
      </c>
      <c r="C47" s="20"/>
      <c r="D47" s="12" t="str">
        <f aca="false">IF(C47="","",C47)</f>
        <v/>
      </c>
      <c r="E47" s="12" t="s">
        <v>686</v>
      </c>
      <c r="F47" s="12" t="s">
        <v>686</v>
      </c>
      <c r="G47" s="12" t="s">
        <v>687</v>
      </c>
      <c r="H47" s="12" t="s">
        <v>687</v>
      </c>
      <c r="I47" s="12" t="s">
        <v>687</v>
      </c>
      <c r="J47" s="12" t="s">
        <v>686</v>
      </c>
      <c r="K47" s="21"/>
      <c r="L47" s="21"/>
      <c r="M47" s="12" t="str">
        <f aca="true">IF(02_Productos_MASTER!J47&lt;&gt;"Sí","Ocultar",IF(AND(OR(K47="",TODAY()&gt;=K47),OR(L47="",TODAY()&lt;=L47)),"Publicar","Ocultar"))</f>
        <v>Publicar</v>
      </c>
      <c r="N47" s="20" t="s">
        <v>713</v>
      </c>
      <c r="O47" s="2"/>
      <c r="P47" s="2"/>
      <c r="Q47" s="2"/>
      <c r="R47" s="2"/>
      <c r="S47" s="2"/>
      <c r="T47" s="2"/>
      <c r="U47" s="2"/>
      <c r="V47" s="2"/>
      <c r="W47" s="2"/>
      <c r="X47" s="2"/>
      <c r="Y47" s="2"/>
      <c r="Z47" s="2"/>
    </row>
    <row r="48" customFormat="false" ht="42" hidden="false" customHeight="true" outlineLevel="0" collapsed="false">
      <c r="A48" s="12" t="s">
        <v>537</v>
      </c>
      <c r="B48" s="12" t="s">
        <v>538</v>
      </c>
      <c r="C48" s="20"/>
      <c r="D48" s="12" t="str">
        <f aca="false">IF(C48="","",C48)</f>
        <v/>
      </c>
      <c r="E48" s="12" t="s">
        <v>686</v>
      </c>
      <c r="F48" s="12" t="s">
        <v>686</v>
      </c>
      <c r="G48" s="12" t="s">
        <v>687</v>
      </c>
      <c r="H48" s="12" t="s">
        <v>687</v>
      </c>
      <c r="I48" s="12" t="s">
        <v>687</v>
      </c>
      <c r="J48" s="12" t="s">
        <v>686</v>
      </c>
      <c r="K48" s="21"/>
      <c r="L48" s="21"/>
      <c r="M48" s="12" t="str">
        <f aca="true">IF(02_Productos_MASTER!J48&lt;&gt;"Sí","Ocultar",IF(AND(OR(K48="",TODAY()&gt;=K48),OR(L48="",TODAY()&lt;=L48)),"Publicar","Ocultar"))</f>
        <v>Publicar</v>
      </c>
      <c r="N48" s="20"/>
      <c r="O48" s="2"/>
      <c r="P48" s="2"/>
      <c r="Q48" s="2"/>
      <c r="R48" s="2"/>
      <c r="S48" s="2"/>
      <c r="T48" s="2"/>
      <c r="U48" s="2"/>
      <c r="V48" s="2"/>
      <c r="W48" s="2"/>
      <c r="X48" s="2"/>
      <c r="Y48" s="2"/>
      <c r="Z48" s="2"/>
    </row>
    <row r="49" customFormat="false" ht="42" hidden="false" customHeight="true" outlineLevel="0" collapsed="false">
      <c r="A49" s="12" t="s">
        <v>548</v>
      </c>
      <c r="B49" s="12" t="s">
        <v>549</v>
      </c>
      <c r="C49" s="20"/>
      <c r="D49" s="12" t="str">
        <f aca="false">IF(C49="","",C49)</f>
        <v/>
      </c>
      <c r="E49" s="12" t="s">
        <v>686</v>
      </c>
      <c r="F49" s="12" t="s">
        <v>686</v>
      </c>
      <c r="G49" s="12" t="s">
        <v>687</v>
      </c>
      <c r="H49" s="12" t="s">
        <v>687</v>
      </c>
      <c r="I49" s="12" t="s">
        <v>687</v>
      </c>
      <c r="J49" s="12" t="s">
        <v>686</v>
      </c>
      <c r="K49" s="21"/>
      <c r="L49" s="21"/>
      <c r="M49" s="12" t="str">
        <f aca="true">IF(02_Productos_MASTER!J49&lt;&gt;"Sí","Ocultar",IF(AND(OR(K49="",TODAY()&gt;=K49),OR(L49="",TODAY()&lt;=L49)),"Publicar","Ocultar"))</f>
        <v>Publicar</v>
      </c>
      <c r="N49" s="20"/>
      <c r="O49" s="2"/>
      <c r="P49" s="2"/>
      <c r="Q49" s="2"/>
      <c r="R49" s="2"/>
      <c r="S49" s="2"/>
      <c r="T49" s="2"/>
      <c r="U49" s="2"/>
      <c r="V49" s="2"/>
      <c r="W49" s="2"/>
      <c r="X49" s="2"/>
      <c r="Y49" s="2"/>
      <c r="Z49" s="2"/>
    </row>
    <row r="50" customFormat="false" ht="42" hidden="false" customHeight="true" outlineLevel="0" collapsed="false">
      <c r="A50" s="12" t="s">
        <v>559</v>
      </c>
      <c r="B50" s="12" t="s">
        <v>560</v>
      </c>
      <c r="C50" s="20"/>
      <c r="D50" s="12" t="str">
        <f aca="false">IF(C50="","",C50)</f>
        <v/>
      </c>
      <c r="E50" s="12" t="s">
        <v>686</v>
      </c>
      <c r="F50" s="12" t="s">
        <v>686</v>
      </c>
      <c r="G50" s="12" t="s">
        <v>687</v>
      </c>
      <c r="H50" s="12" t="s">
        <v>687</v>
      </c>
      <c r="I50" s="12" t="s">
        <v>687</v>
      </c>
      <c r="J50" s="12" t="s">
        <v>686</v>
      </c>
      <c r="K50" s="21"/>
      <c r="L50" s="21"/>
      <c r="M50" s="12" t="str">
        <f aca="true">IF(02_Productos_MASTER!J50&lt;&gt;"Sí","Ocultar",IF(AND(OR(K50="",TODAY()&gt;=K50),OR(L50="",TODAY()&lt;=L50)),"Publicar","Ocultar"))</f>
        <v>Publicar</v>
      </c>
      <c r="N50" s="20"/>
      <c r="O50" s="2"/>
      <c r="P50" s="2"/>
      <c r="Q50" s="2"/>
      <c r="R50" s="2"/>
      <c r="S50" s="2"/>
      <c r="T50" s="2"/>
      <c r="U50" s="2"/>
      <c r="V50" s="2"/>
      <c r="W50" s="2"/>
      <c r="X50" s="2"/>
      <c r="Y50" s="2"/>
      <c r="Z50" s="2"/>
    </row>
    <row r="51" customFormat="false" ht="42" hidden="false" customHeight="true" outlineLevel="0" collapsed="false">
      <c r="A51" s="12" t="s">
        <v>570</v>
      </c>
      <c r="B51" s="12" t="s">
        <v>571</v>
      </c>
      <c r="C51" s="20"/>
      <c r="D51" s="12" t="str">
        <f aca="false">IF(C51="","",C51)</f>
        <v/>
      </c>
      <c r="E51" s="12" t="s">
        <v>686</v>
      </c>
      <c r="F51" s="12" t="s">
        <v>686</v>
      </c>
      <c r="G51" s="12" t="s">
        <v>687</v>
      </c>
      <c r="H51" s="12" t="s">
        <v>687</v>
      </c>
      <c r="I51" s="12" t="s">
        <v>687</v>
      </c>
      <c r="J51" s="12" t="s">
        <v>686</v>
      </c>
      <c r="K51" s="21"/>
      <c r="L51" s="21"/>
      <c r="M51" s="12" t="str">
        <f aca="true">IF(02_Productos_MASTER!J51&lt;&gt;"Sí","Ocultar",IF(AND(OR(K51="",TODAY()&gt;=K51),OR(L51="",TODAY()&lt;=L51)),"Publicar","Ocultar"))</f>
        <v>Publicar</v>
      </c>
      <c r="N51" s="20"/>
      <c r="O51" s="2"/>
      <c r="P51" s="2"/>
      <c r="Q51" s="2"/>
      <c r="R51" s="2"/>
      <c r="S51" s="2"/>
      <c r="T51" s="2"/>
      <c r="U51" s="2"/>
      <c r="V51" s="2"/>
      <c r="W51" s="2"/>
      <c r="X51" s="2"/>
      <c r="Y51" s="2"/>
      <c r="Z51" s="2"/>
    </row>
    <row r="52" customFormat="false" ht="42" hidden="false" customHeight="true" outlineLevel="0" collapsed="false">
      <c r="A52" s="12" t="s">
        <v>581</v>
      </c>
      <c r="B52" s="12" t="s">
        <v>582</v>
      </c>
      <c r="C52" s="20"/>
      <c r="D52" s="12" t="str">
        <f aca="false">IF(C52="","",C52)</f>
        <v/>
      </c>
      <c r="E52" s="12" t="s">
        <v>686</v>
      </c>
      <c r="F52" s="12" t="s">
        <v>686</v>
      </c>
      <c r="G52" s="12" t="s">
        <v>687</v>
      </c>
      <c r="H52" s="12" t="s">
        <v>687</v>
      </c>
      <c r="I52" s="12" t="s">
        <v>687</v>
      </c>
      <c r="J52" s="12" t="s">
        <v>686</v>
      </c>
      <c r="K52" s="21"/>
      <c r="L52" s="21"/>
      <c r="M52" s="12" t="str">
        <f aca="true">IF(02_Productos_MASTER!J52&lt;&gt;"Sí","Ocultar",IF(AND(OR(K52="",TODAY()&gt;=K52),OR(L52="",TODAY()&lt;=L52)),"Publicar","Ocultar"))</f>
        <v>Publicar</v>
      </c>
      <c r="N52" s="20"/>
      <c r="O52" s="2"/>
      <c r="P52" s="2"/>
      <c r="Q52" s="2"/>
      <c r="R52" s="2"/>
      <c r="S52" s="2"/>
      <c r="T52" s="2"/>
      <c r="U52" s="2"/>
      <c r="V52" s="2"/>
      <c r="W52" s="2"/>
      <c r="X52" s="2"/>
      <c r="Y52" s="2"/>
      <c r="Z52" s="2"/>
    </row>
    <row r="53" customFormat="false" ht="42" hidden="false" customHeight="true" outlineLevel="0" collapsed="false">
      <c r="A53" s="12" t="s">
        <v>590</v>
      </c>
      <c r="B53" s="12" t="s">
        <v>591</v>
      </c>
      <c r="C53" s="20"/>
      <c r="D53" s="12" t="str">
        <f aca="false">IF(C53="","",C53)</f>
        <v/>
      </c>
      <c r="E53" s="12" t="s">
        <v>686</v>
      </c>
      <c r="F53" s="12" t="s">
        <v>686</v>
      </c>
      <c r="G53" s="12" t="s">
        <v>687</v>
      </c>
      <c r="H53" s="12" t="s">
        <v>687</v>
      </c>
      <c r="I53" s="12" t="s">
        <v>687</v>
      </c>
      <c r="J53" s="12" t="s">
        <v>686</v>
      </c>
      <c r="K53" s="21"/>
      <c r="L53" s="21"/>
      <c r="M53" s="12" t="str">
        <f aca="true">IF(02_Productos_MASTER!J53&lt;&gt;"Sí","Ocultar",IF(AND(OR(K53="",TODAY()&gt;=K53),OR(L53="",TODAY()&lt;=L53)),"Publicar","Ocultar"))</f>
        <v>Publicar</v>
      </c>
      <c r="N53" s="20"/>
      <c r="O53" s="2"/>
      <c r="P53" s="2"/>
      <c r="Q53" s="2"/>
      <c r="R53" s="2"/>
      <c r="S53" s="2"/>
      <c r="T53" s="2"/>
      <c r="U53" s="2"/>
      <c r="V53" s="2"/>
      <c r="W53" s="2"/>
      <c r="X53" s="2"/>
      <c r="Y53" s="2"/>
      <c r="Z53" s="2"/>
    </row>
    <row r="54" customFormat="false" ht="42" hidden="false" customHeight="true" outlineLevel="0" collapsed="false">
      <c r="A54" s="12" t="s">
        <v>601</v>
      </c>
      <c r="B54" s="12" t="s">
        <v>602</v>
      </c>
      <c r="C54" s="20"/>
      <c r="D54" s="12" t="str">
        <f aca="false">IF(C54="","",C54)</f>
        <v/>
      </c>
      <c r="E54" s="12" t="s">
        <v>686</v>
      </c>
      <c r="F54" s="12" t="s">
        <v>686</v>
      </c>
      <c r="G54" s="12" t="s">
        <v>687</v>
      </c>
      <c r="H54" s="12" t="s">
        <v>687</v>
      </c>
      <c r="I54" s="12" t="s">
        <v>687</v>
      </c>
      <c r="J54" s="12" t="s">
        <v>686</v>
      </c>
      <c r="K54" s="21"/>
      <c r="L54" s="21"/>
      <c r="M54" s="12" t="str">
        <f aca="true">IF(02_Productos_MASTER!J54&lt;&gt;"Sí","Ocultar",IF(AND(OR(K54="",TODAY()&gt;=K54),OR(L54="",TODAY()&lt;=L54)),"Publicar","Ocultar"))</f>
        <v>Publicar</v>
      </c>
      <c r="N54" s="20"/>
      <c r="O54" s="2"/>
      <c r="P54" s="2"/>
      <c r="Q54" s="2"/>
      <c r="R54" s="2"/>
      <c r="S54" s="2"/>
      <c r="T54" s="2"/>
      <c r="U54" s="2"/>
      <c r="V54" s="2"/>
      <c r="W54" s="2"/>
      <c r="X54" s="2"/>
      <c r="Y54" s="2"/>
      <c r="Z54" s="2"/>
    </row>
    <row r="55" customFormat="false" ht="42" hidden="false" customHeight="true" outlineLevel="0" collapsed="false">
      <c r="A55" s="12" t="s">
        <v>612</v>
      </c>
      <c r="B55" s="12" t="s">
        <v>613</v>
      </c>
      <c r="C55" s="20"/>
      <c r="D55" s="12" t="str">
        <f aca="false">IF(C55="","",C55)</f>
        <v/>
      </c>
      <c r="E55" s="12" t="s">
        <v>686</v>
      </c>
      <c r="F55" s="12" t="s">
        <v>686</v>
      </c>
      <c r="G55" s="12" t="s">
        <v>687</v>
      </c>
      <c r="H55" s="12" t="s">
        <v>687</v>
      </c>
      <c r="I55" s="12" t="s">
        <v>687</v>
      </c>
      <c r="J55" s="12" t="s">
        <v>686</v>
      </c>
      <c r="K55" s="21"/>
      <c r="L55" s="21"/>
      <c r="M55" s="12" t="str">
        <f aca="true">IF(02_Productos_MASTER!J55&lt;&gt;"Sí","Ocultar",IF(AND(OR(K55="",TODAY()&gt;=K55),OR(L55="",TODAY()&lt;=L55)),"Publicar","Ocultar"))</f>
        <v>Publicar</v>
      </c>
      <c r="N55" s="20"/>
      <c r="O55" s="2"/>
      <c r="P55" s="2"/>
      <c r="Q55" s="2"/>
      <c r="R55" s="2"/>
      <c r="S55" s="2"/>
      <c r="T55" s="2"/>
      <c r="U55" s="2"/>
      <c r="V55" s="2"/>
      <c r="W55" s="2"/>
      <c r="X55" s="2"/>
      <c r="Y55" s="2"/>
      <c r="Z55" s="2"/>
    </row>
    <row r="56" customFormat="false" ht="42" hidden="false" customHeight="true" outlineLevel="0" collapsed="false">
      <c r="A56" s="12" t="s">
        <v>623</v>
      </c>
      <c r="B56" s="12" t="s">
        <v>624</v>
      </c>
      <c r="C56" s="20"/>
      <c r="D56" s="12" t="str">
        <f aca="false">IF(C56="","",C56)</f>
        <v/>
      </c>
      <c r="E56" s="12" t="s">
        <v>686</v>
      </c>
      <c r="F56" s="12" t="s">
        <v>686</v>
      </c>
      <c r="G56" s="12" t="s">
        <v>687</v>
      </c>
      <c r="H56" s="12" t="s">
        <v>687</v>
      </c>
      <c r="I56" s="12" t="s">
        <v>687</v>
      </c>
      <c r="J56" s="12" t="s">
        <v>686</v>
      </c>
      <c r="K56" s="21"/>
      <c r="L56" s="21"/>
      <c r="M56" s="12" t="str">
        <f aca="true">IF(02_Productos_MASTER!J56&lt;&gt;"Sí","Ocultar",IF(AND(OR(K56="",TODAY()&gt;=K56),OR(L56="",TODAY()&lt;=L56)),"Publicar","Ocultar"))</f>
        <v>Publicar</v>
      </c>
      <c r="N56" s="20"/>
      <c r="O56" s="2"/>
      <c r="P56" s="2"/>
      <c r="Q56" s="2"/>
      <c r="R56" s="2"/>
      <c r="S56" s="2"/>
      <c r="T56" s="2"/>
      <c r="U56" s="2"/>
      <c r="V56" s="2"/>
      <c r="W56" s="2"/>
      <c r="X56" s="2"/>
      <c r="Y56" s="2"/>
      <c r="Z56" s="2"/>
    </row>
    <row r="57" customFormat="false" ht="42" hidden="false" customHeight="true" outlineLevel="0" collapsed="false">
      <c r="A57" s="12" t="s">
        <v>634</v>
      </c>
      <c r="B57" s="12" t="s">
        <v>635</v>
      </c>
      <c r="C57" s="20"/>
      <c r="D57" s="12" t="str">
        <f aca="false">IF(C57="","",C57)</f>
        <v/>
      </c>
      <c r="E57" s="12" t="s">
        <v>686</v>
      </c>
      <c r="F57" s="12" t="s">
        <v>686</v>
      </c>
      <c r="G57" s="12" t="s">
        <v>687</v>
      </c>
      <c r="H57" s="12" t="s">
        <v>687</v>
      </c>
      <c r="I57" s="12" t="s">
        <v>687</v>
      </c>
      <c r="J57" s="12" t="s">
        <v>686</v>
      </c>
      <c r="K57" s="21"/>
      <c r="L57" s="21"/>
      <c r="M57" s="12" t="str">
        <f aca="true">IF(02_Productos_MASTER!J57&lt;&gt;"Sí","Ocultar",IF(AND(OR(K57="",TODAY()&gt;=K57),OR(L57="",TODAY()&lt;=L57)),"Publicar","Ocultar"))</f>
        <v>Publicar</v>
      </c>
      <c r="N57" s="20"/>
      <c r="O57" s="2"/>
      <c r="P57" s="2"/>
      <c r="Q57" s="2"/>
      <c r="R57" s="2"/>
      <c r="S57" s="2"/>
      <c r="T57" s="2"/>
      <c r="U57" s="2"/>
      <c r="V57" s="2"/>
      <c r="W57" s="2"/>
      <c r="X57" s="2"/>
      <c r="Y57" s="2"/>
      <c r="Z57" s="2"/>
    </row>
    <row r="58" customFormat="false" ht="42" hidden="false" customHeight="true" outlineLevel="0" collapsed="false">
      <c r="A58" s="12" t="s">
        <v>645</v>
      </c>
      <c r="B58" s="12" t="s">
        <v>646</v>
      </c>
      <c r="C58" s="20"/>
      <c r="D58" s="12" t="str">
        <f aca="false">IF(C58="","",C58)</f>
        <v/>
      </c>
      <c r="E58" s="12" t="s">
        <v>686</v>
      </c>
      <c r="F58" s="12" t="s">
        <v>686</v>
      </c>
      <c r="G58" s="12" t="s">
        <v>687</v>
      </c>
      <c r="H58" s="12" t="s">
        <v>687</v>
      </c>
      <c r="I58" s="12" t="s">
        <v>687</v>
      </c>
      <c r="J58" s="12" t="s">
        <v>686</v>
      </c>
      <c r="K58" s="21"/>
      <c r="L58" s="21"/>
      <c r="M58" s="12" t="str">
        <f aca="true">IF(02_Productos_MASTER!J58&lt;&gt;"Sí","Ocultar",IF(AND(OR(K58="",TODAY()&gt;=K58),OR(L58="",TODAY()&lt;=L58)),"Publicar","Ocultar"))</f>
        <v>Publicar</v>
      </c>
      <c r="N58" s="20"/>
      <c r="O58" s="2"/>
      <c r="P58" s="2"/>
      <c r="Q58" s="2"/>
      <c r="R58" s="2"/>
      <c r="S58" s="2"/>
      <c r="T58" s="2"/>
      <c r="U58" s="2"/>
      <c r="V58" s="2"/>
      <c r="W58" s="2"/>
      <c r="X58" s="2"/>
      <c r="Y58" s="2"/>
      <c r="Z58" s="2"/>
    </row>
    <row r="59" customFormat="false" ht="42" hidden="false" customHeight="true" outlineLevel="0" collapsed="false">
      <c r="A59" s="12" t="s">
        <v>656</v>
      </c>
      <c r="B59" s="12" t="s">
        <v>657</v>
      </c>
      <c r="C59" s="20"/>
      <c r="D59" s="12" t="str">
        <f aca="false">IF(C59="","",C59)</f>
        <v/>
      </c>
      <c r="E59" s="12" t="s">
        <v>686</v>
      </c>
      <c r="F59" s="12" t="s">
        <v>686</v>
      </c>
      <c r="G59" s="12" t="s">
        <v>687</v>
      </c>
      <c r="H59" s="12" t="s">
        <v>687</v>
      </c>
      <c r="I59" s="12" t="s">
        <v>687</v>
      </c>
      <c r="J59" s="12" t="s">
        <v>686</v>
      </c>
      <c r="K59" s="21"/>
      <c r="L59" s="21"/>
      <c r="M59" s="12" t="str">
        <f aca="true">IF(02_Productos_MASTER!J59&lt;&gt;"Sí","Ocultar",IF(AND(OR(K59="",TODAY()&gt;=K59),OR(L59="",TODAY()&lt;=L59)),"Publicar","Ocultar"))</f>
        <v>Publicar</v>
      </c>
      <c r="N59" s="20"/>
      <c r="O59" s="2"/>
      <c r="P59" s="2"/>
      <c r="Q59" s="2"/>
      <c r="R59" s="2"/>
      <c r="S59" s="2"/>
      <c r="T59" s="2"/>
      <c r="U59" s="2"/>
      <c r="V59" s="2"/>
      <c r="W59" s="2"/>
      <c r="X59" s="2"/>
      <c r="Y59" s="2"/>
      <c r="Z59" s="2"/>
    </row>
    <row r="60" customFormat="false" ht="14.25" hidden="false" customHeight="fals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4.25" hidden="false" customHeight="fals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4.25" hidden="false" customHeight="fals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4.25" hidden="false" customHeight="fals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4.25" hidden="false" customHeight="fals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4.25" hidden="false" customHeight="fals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4.25" hidden="false" customHeight="fals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4.25" hidden="false" customHeight="fals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4.25" hidden="false" customHeight="fals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4.25" hidden="false" customHeight="fals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4.25" hidden="false" customHeight="fals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4.25" hidden="false" customHeight="fals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4.25" hidden="false" customHeight="fals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4.25" hidden="false" customHeight="fals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4.25" hidden="false" customHeight="fals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4.25" hidden="false" customHeight="fals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4.25" hidden="false" customHeight="fals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4.25" hidden="false" customHeight="fals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4.25" hidden="false" customHeight="fals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4.25" hidden="false" customHeight="fals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4.25" hidden="false" customHeight="fals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4.25" hidden="false" customHeight="fals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4.25" hidden="false" customHeight="fals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4.25" hidden="false" customHeight="fals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4.25" hidden="false" customHeight="fals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4.25" hidden="false" customHeight="fals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4.25" hidden="false" customHeight="fals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4.25" hidden="false" customHeight="fals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4.25" hidden="false" customHeight="fals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4.25" hidden="false" customHeight="fals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4.25" hidden="false" customHeight="fals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4.25" hidden="false" customHeight="fals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4.25" hidden="false" customHeight="fals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4.25" hidden="false" customHeight="fals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4.25" hidden="false" customHeight="fals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4.25" hidden="false" customHeight="fals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4.25" hidden="false" customHeight="fals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4.25" hidden="false" customHeight="fals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4.25" hidden="false" customHeight="fals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4.25" hidden="false" customHeight="fals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4.25" hidden="false" customHeight="fals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4.25" hidden="false" customHeight="fals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4.25" hidden="false" customHeight="fals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4.25" hidden="false" customHeight="fals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4.25" hidden="false" customHeight="fals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4.25" hidden="false" customHeight="fals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4.25" hidden="false" customHeight="fals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4.25" hidden="false" customHeight="fals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4.25" hidden="false" customHeight="fals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4.25" hidden="false" customHeight="fals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4.25" hidden="false" customHeight="fals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4.25" hidden="false" customHeight="fals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4.25" hidden="false" customHeight="fals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4.25" hidden="false" customHeight="fals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4.25" hidden="false" customHeight="fals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4.25" hidden="false" customHeight="fals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4.25" hidden="false" customHeight="fals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4.25" hidden="false" customHeight="fals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4.25" hidden="false" customHeight="fals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4.25" hidden="false" customHeight="fals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4.25" hidden="false" customHeight="fals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4.25" hidden="false" customHeight="fals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4.25" hidden="false" customHeight="fals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4.25" hidden="false" customHeight="fals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4.25" hidden="false" customHeight="fals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4.25" hidden="false" customHeight="fals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4.25" hidden="false" customHeight="fals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4.25" hidden="false" customHeight="fals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4.25" hidden="false" customHeight="fals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4.25" hidden="false" customHeight="fals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4.25" hidden="false" customHeight="fals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4.25" hidden="false" customHeight="fals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4.25" hidden="false" customHeight="fals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4.25" hidden="false" customHeight="fals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4.25" hidden="false" customHeight="fals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4.25" hidden="false" customHeight="fals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4.25" hidden="false" customHeight="fals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4.25" hidden="false" customHeight="fals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4.25" hidden="false" customHeight="fals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4.25" hidden="false" customHeight="fals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4.25" hidden="false" customHeight="fals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4.25" hidden="false" customHeight="fals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4.25" hidden="false" customHeight="fals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4.25" hidden="false" customHeight="fals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4.25" hidden="false" customHeight="fals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4.25" hidden="false" customHeight="fals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4.25" hidden="false" customHeight="fals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4.25" hidden="false" customHeight="fals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4.25" hidden="false" customHeight="fals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4.25" hidden="false" customHeight="fals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4.25" hidden="false" customHeight="fals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4.25" hidden="false" customHeight="fals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4.25" hidden="false" customHeight="fals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4.25" hidden="false" customHeight="fals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4.25" hidden="false" customHeight="fals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4.25" hidden="false" customHeight="fals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4.25" hidden="false" customHeight="fals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4.25" hidden="false" customHeight="fals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4.25" hidden="false" customHeight="fals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4.25" hidden="false" customHeight="fals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4.25" hidden="false" customHeight="fals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4.25" hidden="false" customHeight="fals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4.25" hidden="false" customHeight="fals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4.25" hidden="false" customHeight="fals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4.25" hidden="false" customHeight="fals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4.25" hidden="false" customHeight="fals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4.25" hidden="false" customHeight="fals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4.25" hidden="false" customHeight="fals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4.25" hidden="false" customHeight="fals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4.25" hidden="false" customHeight="fals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4.25" hidden="false" customHeight="fals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4.25" hidden="false" customHeight="fals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4.25" hidden="false" customHeight="fals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4.25" hidden="false" customHeight="fals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4.25" hidden="false" customHeight="fals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4.25" hidden="false" customHeight="fals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4.25" hidden="false" customHeight="fals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4.25" hidden="false" customHeight="fals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4.25" hidden="false" customHeight="fals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4.25" hidden="false" customHeight="fals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4.25" hidden="false" customHeight="fals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4.25" hidden="false" customHeight="fals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4.25" hidden="false" customHeight="fals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4.25" hidden="false" customHeight="fals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4.25" hidden="false" customHeight="fals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4.25" hidden="false" customHeight="fals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4.25" hidden="false" customHeight="fals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4.25" hidden="false" customHeight="fals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4.25" hidden="false" customHeight="fals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4.25" hidden="false" customHeight="fals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4.25" hidden="false" customHeight="fals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4.25" hidden="false" customHeight="fals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4.25" hidden="false" customHeight="fals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4.25" hidden="false" customHeight="fals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4.25" hidden="false" customHeight="fals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4.25" hidden="false" customHeight="fals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4.25" hidden="false" customHeight="fals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4.25" hidden="false" customHeight="fals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4.25" hidden="false" customHeight="fals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4.25" hidden="false" customHeight="fals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4.25" hidden="false" customHeight="fals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sheetData>
  <autoFilter ref="A4:N59"/>
  <mergeCells count="2">
    <mergeCell ref="A1:N1"/>
    <mergeCell ref="A2:N2"/>
  </mergeCells>
  <conditionalFormatting sqref="M5:M59">
    <cfRule type="expression" priority="2" aboveAverage="0" equalAverage="0" bottom="0" percent="0" rank="0" text="" dxfId="9">
      <formula>M5="Publicar"</formula>
    </cfRule>
    <cfRule type="expression" priority="3" aboveAverage="0" equalAverage="0" bottom="0" percent="0" rank="0" text="" dxfId="15">
      <formula>M5="Ocultar"</formula>
    </cfRule>
  </conditionalFormatting>
  <dataValidations count="1">
    <dataValidation allowBlank="true" errorStyle="stop" operator="between" showDropDown="false" showErrorMessage="false" showInputMessage="false" sqref="E5:J59" type="list">
      <formula1>Lista_SiNo</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B2F2F"/>
    <pageSetUpPr fitToPage="false"/>
  </sheetPr>
  <dimension ref="A1:Z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9.00390625" defaultRowHeight="14.2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18"/>
    <col collapsed="false" customWidth="true" hidden="false" outlineLevel="0" max="4" min="4" style="0" width="16"/>
    <col collapsed="false" customWidth="true" hidden="false" outlineLevel="0" max="5" min="5" style="0" width="13"/>
    <col collapsed="false" customWidth="true" hidden="false" outlineLevel="0" max="6" min="6" style="0" width="18"/>
    <col collapsed="false" customWidth="true" hidden="false" outlineLevel="0" max="7" min="7" style="0" width="13"/>
    <col collapsed="false" customWidth="true" hidden="false" outlineLevel="0" max="8" min="8" style="0" width="15"/>
    <col collapsed="false" customWidth="true" hidden="false" outlineLevel="0" max="9" min="9" style="0" width="17"/>
    <col collapsed="false" customWidth="true" hidden="false" outlineLevel="0" max="10" min="10" style="0" width="18"/>
    <col collapsed="false" customWidth="true" hidden="false" outlineLevel="0" max="11" min="11" style="0" width="20"/>
    <col collapsed="false" customWidth="true" hidden="false" outlineLevel="0" max="13" min="12" style="0" width="15"/>
    <col collapsed="false" customWidth="true" hidden="false" outlineLevel="0" max="15" min="14" style="0" width="16"/>
    <col collapsed="false" customWidth="true" hidden="false" outlineLevel="0" max="16" min="16" style="0" width="42"/>
  </cols>
  <sheetData>
    <row r="1" customFormat="false" ht="30" hidden="false" customHeight="true" outlineLevel="0" collapsed="false">
      <c r="A1" s="1" t="s">
        <v>2123</v>
      </c>
      <c r="B1" s="1"/>
      <c r="C1" s="1"/>
      <c r="D1" s="1"/>
      <c r="E1" s="1"/>
      <c r="F1" s="1"/>
      <c r="G1" s="1"/>
      <c r="H1" s="1"/>
      <c r="I1" s="1"/>
      <c r="J1" s="1"/>
      <c r="K1" s="1"/>
      <c r="L1" s="1"/>
      <c r="M1" s="1"/>
      <c r="N1" s="1"/>
      <c r="O1" s="1"/>
      <c r="P1" s="1"/>
      <c r="Q1" s="2"/>
      <c r="R1" s="2"/>
      <c r="S1" s="2"/>
      <c r="T1" s="2"/>
      <c r="U1" s="2"/>
      <c r="V1" s="2"/>
      <c r="W1" s="2"/>
      <c r="X1" s="2"/>
      <c r="Y1" s="2"/>
      <c r="Z1" s="2"/>
    </row>
    <row r="2" customFormat="false" ht="30" hidden="false" customHeight="true" outlineLevel="0" collapsed="false">
      <c r="A2" s="3" t="s">
        <v>2124</v>
      </c>
      <c r="B2" s="3"/>
      <c r="C2" s="3"/>
      <c r="D2" s="3"/>
      <c r="E2" s="3"/>
      <c r="F2" s="3"/>
      <c r="G2" s="3"/>
      <c r="H2" s="3"/>
      <c r="I2" s="3"/>
      <c r="J2" s="3"/>
      <c r="K2" s="3"/>
      <c r="L2" s="3"/>
      <c r="M2" s="3"/>
      <c r="N2" s="3"/>
      <c r="O2" s="3"/>
      <c r="P2" s="3"/>
      <c r="Q2" s="2"/>
      <c r="R2" s="2"/>
      <c r="S2" s="2"/>
      <c r="T2" s="2"/>
      <c r="U2" s="2"/>
      <c r="V2" s="2"/>
      <c r="W2" s="2"/>
      <c r="X2" s="2"/>
      <c r="Y2" s="2"/>
      <c r="Z2" s="2"/>
    </row>
    <row r="3" customFormat="false" ht="14.25" hidden="false" customHeight="false" outlineLevel="0" collapsed="false">
      <c r="A3" s="2"/>
      <c r="B3" s="2"/>
      <c r="C3" s="2"/>
      <c r="D3" s="2"/>
      <c r="E3" s="2"/>
      <c r="F3" s="2"/>
      <c r="G3" s="2"/>
      <c r="H3" s="2"/>
      <c r="I3" s="2"/>
      <c r="J3" s="2"/>
      <c r="K3" s="2"/>
      <c r="L3" s="2"/>
      <c r="M3" s="2"/>
      <c r="N3" s="2"/>
      <c r="O3" s="2"/>
      <c r="P3" s="2"/>
      <c r="Q3" s="2"/>
      <c r="R3" s="2"/>
      <c r="S3" s="2"/>
      <c r="T3" s="2"/>
      <c r="U3" s="2"/>
      <c r="V3" s="2"/>
      <c r="W3" s="2"/>
      <c r="X3" s="2"/>
      <c r="Y3" s="2"/>
      <c r="Z3" s="2"/>
    </row>
    <row r="4" customFormat="false" ht="36" hidden="false" customHeight="true" outlineLevel="0" collapsed="false">
      <c r="A4" s="11" t="s">
        <v>79</v>
      </c>
      <c r="B4" s="11" t="s">
        <v>821</v>
      </c>
      <c r="C4" s="11" t="s">
        <v>1047</v>
      </c>
      <c r="D4" s="11" t="s">
        <v>2125</v>
      </c>
      <c r="E4" s="11" t="s">
        <v>2126</v>
      </c>
      <c r="F4" s="11" t="s">
        <v>2127</v>
      </c>
      <c r="G4" s="11" t="s">
        <v>2128</v>
      </c>
      <c r="H4" s="11" t="s">
        <v>2129</v>
      </c>
      <c r="I4" s="11" t="s">
        <v>2130</v>
      </c>
      <c r="J4" s="11" t="s">
        <v>2131</v>
      </c>
      <c r="K4" s="11" t="s">
        <v>2132</v>
      </c>
      <c r="L4" s="11" t="s">
        <v>2133</v>
      </c>
      <c r="M4" s="11" t="s">
        <v>2134</v>
      </c>
      <c r="N4" s="11" t="s">
        <v>2135</v>
      </c>
      <c r="O4" s="11" t="s">
        <v>2136</v>
      </c>
      <c r="P4" s="11" t="s">
        <v>683</v>
      </c>
      <c r="Q4" s="2"/>
      <c r="R4" s="2"/>
      <c r="S4" s="2"/>
      <c r="T4" s="2"/>
      <c r="U4" s="2"/>
      <c r="V4" s="2"/>
      <c r="W4" s="2"/>
      <c r="X4" s="2"/>
      <c r="Y4" s="2"/>
      <c r="Z4" s="2"/>
    </row>
    <row r="5" customFormat="false" ht="42" hidden="false" customHeight="true" outlineLevel="0" collapsed="false">
      <c r="A5" s="12" t="s">
        <v>91</v>
      </c>
      <c r="B5" s="12" t="s">
        <v>92</v>
      </c>
      <c r="C5" s="22"/>
      <c r="D5" s="21"/>
      <c r="E5" s="23"/>
      <c r="F5" s="20"/>
      <c r="G5" s="20"/>
      <c r="H5" s="20"/>
      <c r="I5" s="20"/>
      <c r="J5" s="20"/>
      <c r="K5" s="17" t="str">
        <f aca="false">IF(C5="","",IFERROR(C5*INDEX(04_Precios!$D$5:$D$59,MATCH($A5,04_Precios!$A$5:$A$59,0)),""))</f>
        <v/>
      </c>
      <c r="L5" s="18" t="str">
        <f aca="false">IFERROR(I5/H5,"")</f>
        <v/>
      </c>
      <c r="M5" s="18" t="str">
        <f aca="false">IFERROR(J5/I5,"")</f>
        <v/>
      </c>
      <c r="N5" s="21"/>
      <c r="O5" s="21"/>
      <c r="P5" s="20"/>
      <c r="Q5" s="2"/>
      <c r="R5" s="2"/>
      <c r="S5" s="2"/>
      <c r="T5" s="2"/>
      <c r="U5" s="2"/>
      <c r="V5" s="2"/>
      <c r="W5" s="2"/>
      <c r="X5" s="2"/>
      <c r="Y5" s="2"/>
      <c r="Z5" s="2"/>
    </row>
    <row r="6" customFormat="false" ht="42" hidden="false" customHeight="true" outlineLevel="0" collapsed="false">
      <c r="A6" s="12" t="s">
        <v>102</v>
      </c>
      <c r="B6" s="12" t="s">
        <v>103</v>
      </c>
      <c r="C6" s="22"/>
      <c r="D6" s="21"/>
      <c r="E6" s="23"/>
      <c r="F6" s="20"/>
      <c r="G6" s="20"/>
      <c r="H6" s="20"/>
      <c r="I6" s="20"/>
      <c r="J6" s="20"/>
      <c r="K6" s="17" t="str">
        <f aca="false">IF(C6="","",IFERROR(C6*INDEX(04_Precios!$D$5:$D$59,MATCH($A6,04_Precios!$A$5:$A$59,0)),""))</f>
        <v/>
      </c>
      <c r="L6" s="18" t="str">
        <f aca="false">IFERROR(I6/H6,"")</f>
        <v/>
      </c>
      <c r="M6" s="18" t="str">
        <f aca="false">IFERROR(J6/I6,"")</f>
        <v/>
      </c>
      <c r="N6" s="21"/>
      <c r="O6" s="21"/>
      <c r="P6" s="20"/>
      <c r="Q6" s="2"/>
      <c r="R6" s="2"/>
      <c r="S6" s="2"/>
      <c r="T6" s="2"/>
      <c r="U6" s="2"/>
      <c r="V6" s="2"/>
      <c r="W6" s="2"/>
      <c r="X6" s="2"/>
      <c r="Y6" s="2"/>
      <c r="Z6" s="2"/>
    </row>
    <row r="7" customFormat="false" ht="42" hidden="false" customHeight="true" outlineLevel="0" collapsed="false">
      <c r="A7" s="12" t="s">
        <v>113</v>
      </c>
      <c r="B7" s="12" t="s">
        <v>114</v>
      </c>
      <c r="C7" s="22"/>
      <c r="D7" s="21"/>
      <c r="E7" s="23"/>
      <c r="F7" s="20"/>
      <c r="G7" s="20"/>
      <c r="H7" s="20"/>
      <c r="I7" s="20"/>
      <c r="J7" s="20"/>
      <c r="K7" s="17" t="str">
        <f aca="false">IF(C7="","",IFERROR(C7*INDEX(04_Precios!$D$5:$D$59,MATCH($A7,04_Precios!$A$5:$A$59,0)),""))</f>
        <v/>
      </c>
      <c r="L7" s="18" t="str">
        <f aca="false">IFERROR(I7/H7,"")</f>
        <v/>
      </c>
      <c r="M7" s="18" t="str">
        <f aca="false">IFERROR(J7/I7,"")</f>
        <v/>
      </c>
      <c r="N7" s="21"/>
      <c r="O7" s="21"/>
      <c r="P7" s="20"/>
      <c r="Q7" s="2"/>
      <c r="R7" s="2"/>
      <c r="S7" s="2"/>
      <c r="T7" s="2"/>
      <c r="U7" s="2"/>
      <c r="V7" s="2"/>
      <c r="W7" s="2"/>
      <c r="X7" s="2"/>
      <c r="Y7" s="2"/>
      <c r="Z7" s="2"/>
    </row>
    <row r="8" customFormat="false" ht="42" hidden="false" customHeight="true" outlineLevel="0" collapsed="false">
      <c r="A8" s="12" t="s">
        <v>124</v>
      </c>
      <c r="B8" s="12" t="s">
        <v>125</v>
      </c>
      <c r="C8" s="22"/>
      <c r="D8" s="21"/>
      <c r="E8" s="23"/>
      <c r="F8" s="20"/>
      <c r="G8" s="20"/>
      <c r="H8" s="20"/>
      <c r="I8" s="20"/>
      <c r="J8" s="20"/>
      <c r="K8" s="17" t="str">
        <f aca="false">IF(C8="","",IFERROR(C8*INDEX(04_Precios!$D$5:$D$59,MATCH($A8,04_Precios!$A$5:$A$59,0)),""))</f>
        <v/>
      </c>
      <c r="L8" s="18" t="str">
        <f aca="false">IFERROR(I8/H8,"")</f>
        <v/>
      </c>
      <c r="M8" s="18" t="str">
        <f aca="false">IFERROR(J8/I8,"")</f>
        <v/>
      </c>
      <c r="N8" s="21"/>
      <c r="O8" s="21"/>
      <c r="P8" s="20"/>
      <c r="Q8" s="2"/>
      <c r="R8" s="2"/>
      <c r="S8" s="2"/>
      <c r="T8" s="2"/>
      <c r="U8" s="2"/>
      <c r="V8" s="2"/>
      <c r="W8" s="2"/>
      <c r="X8" s="2"/>
      <c r="Y8" s="2"/>
      <c r="Z8" s="2"/>
    </row>
    <row r="9" customFormat="false" ht="42" hidden="false" customHeight="true" outlineLevel="0" collapsed="false">
      <c r="A9" s="12" t="s">
        <v>135</v>
      </c>
      <c r="B9" s="12" t="s">
        <v>136</v>
      </c>
      <c r="C9" s="22"/>
      <c r="D9" s="21"/>
      <c r="E9" s="23"/>
      <c r="F9" s="20"/>
      <c r="G9" s="20"/>
      <c r="H9" s="20"/>
      <c r="I9" s="20"/>
      <c r="J9" s="20"/>
      <c r="K9" s="17" t="str">
        <f aca="false">IF(C9="","",IFERROR(C9*INDEX(04_Precios!$D$5:$D$59,MATCH($A9,04_Precios!$A$5:$A$59,0)),""))</f>
        <v/>
      </c>
      <c r="L9" s="18" t="str">
        <f aca="false">IFERROR(I9/H9,"")</f>
        <v/>
      </c>
      <c r="M9" s="18" t="str">
        <f aca="false">IFERROR(J9/I9,"")</f>
        <v/>
      </c>
      <c r="N9" s="21"/>
      <c r="O9" s="21"/>
      <c r="P9" s="20"/>
      <c r="Q9" s="2"/>
      <c r="R9" s="2"/>
      <c r="S9" s="2"/>
      <c r="T9" s="2"/>
      <c r="U9" s="2"/>
      <c r="V9" s="2"/>
      <c r="W9" s="2"/>
      <c r="X9" s="2"/>
      <c r="Y9" s="2"/>
      <c r="Z9" s="2"/>
    </row>
    <row r="10" customFormat="false" ht="42" hidden="false" customHeight="true" outlineLevel="0" collapsed="false">
      <c r="A10" s="12" t="s">
        <v>146</v>
      </c>
      <c r="B10" s="12" t="s">
        <v>147</v>
      </c>
      <c r="C10" s="22"/>
      <c r="D10" s="21"/>
      <c r="E10" s="23"/>
      <c r="F10" s="20"/>
      <c r="G10" s="20"/>
      <c r="H10" s="20"/>
      <c r="I10" s="20"/>
      <c r="J10" s="20"/>
      <c r="K10" s="17" t="str">
        <f aca="false">IF(C10="","",IFERROR(C10*INDEX(04_Precios!$D$5:$D$59,MATCH($A10,04_Precios!$A$5:$A$59,0)),""))</f>
        <v/>
      </c>
      <c r="L10" s="18" t="str">
        <f aca="false">IFERROR(I10/H10,"")</f>
        <v/>
      </c>
      <c r="M10" s="18" t="str">
        <f aca="false">IFERROR(J10/I10,"")</f>
        <v/>
      </c>
      <c r="N10" s="21"/>
      <c r="O10" s="21"/>
      <c r="P10" s="20"/>
      <c r="Q10" s="2"/>
      <c r="R10" s="2"/>
      <c r="S10" s="2"/>
      <c r="T10" s="2"/>
      <c r="U10" s="2"/>
      <c r="V10" s="2"/>
      <c r="W10" s="2"/>
      <c r="X10" s="2"/>
      <c r="Y10" s="2"/>
      <c r="Z10" s="2"/>
    </row>
    <row r="11" customFormat="false" ht="42" hidden="false" customHeight="true" outlineLevel="0" collapsed="false">
      <c r="A11" s="12" t="s">
        <v>157</v>
      </c>
      <c r="B11" s="12" t="s">
        <v>158</v>
      </c>
      <c r="C11" s="22"/>
      <c r="D11" s="21"/>
      <c r="E11" s="23"/>
      <c r="F11" s="20"/>
      <c r="G11" s="20"/>
      <c r="H11" s="20"/>
      <c r="I11" s="20"/>
      <c r="J11" s="20"/>
      <c r="K11" s="17" t="str">
        <f aca="false">IF(C11="","",IFERROR(C11*INDEX(04_Precios!$D$5:$D$59,MATCH($A11,04_Precios!$A$5:$A$59,0)),""))</f>
        <v/>
      </c>
      <c r="L11" s="18" t="str">
        <f aca="false">IFERROR(I11/H11,"")</f>
        <v/>
      </c>
      <c r="M11" s="18" t="str">
        <f aca="false">IFERROR(J11/I11,"")</f>
        <v/>
      </c>
      <c r="N11" s="21"/>
      <c r="O11" s="21"/>
      <c r="P11" s="20"/>
      <c r="Q11" s="2"/>
      <c r="R11" s="2"/>
      <c r="S11" s="2"/>
      <c r="T11" s="2"/>
      <c r="U11" s="2"/>
      <c r="V11" s="2"/>
      <c r="W11" s="2"/>
      <c r="X11" s="2"/>
      <c r="Y11" s="2"/>
      <c r="Z11" s="2"/>
    </row>
    <row r="12" customFormat="false" ht="42" hidden="false" customHeight="true" outlineLevel="0" collapsed="false">
      <c r="A12" s="12" t="s">
        <v>168</v>
      </c>
      <c r="B12" s="12" t="s">
        <v>169</v>
      </c>
      <c r="C12" s="22"/>
      <c r="D12" s="21"/>
      <c r="E12" s="23"/>
      <c r="F12" s="20"/>
      <c r="G12" s="20"/>
      <c r="H12" s="20"/>
      <c r="I12" s="20"/>
      <c r="J12" s="20"/>
      <c r="K12" s="17" t="str">
        <f aca="false">IF(C12="","",IFERROR(C12*INDEX(04_Precios!$D$5:$D$59,MATCH($A12,04_Precios!$A$5:$A$59,0)),""))</f>
        <v/>
      </c>
      <c r="L12" s="18" t="str">
        <f aca="false">IFERROR(I12/H12,"")</f>
        <v/>
      </c>
      <c r="M12" s="18" t="str">
        <f aca="false">IFERROR(J12/I12,"")</f>
        <v/>
      </c>
      <c r="N12" s="21"/>
      <c r="O12" s="21"/>
      <c r="P12" s="20"/>
      <c r="Q12" s="2"/>
      <c r="R12" s="2"/>
      <c r="S12" s="2"/>
      <c r="T12" s="2"/>
      <c r="U12" s="2"/>
      <c r="V12" s="2"/>
      <c r="W12" s="2"/>
      <c r="X12" s="2"/>
      <c r="Y12" s="2"/>
      <c r="Z12" s="2"/>
    </row>
    <row r="13" customFormat="false" ht="42" hidden="false" customHeight="true" outlineLevel="0" collapsed="false">
      <c r="A13" s="12" t="s">
        <v>179</v>
      </c>
      <c r="B13" s="12" t="s">
        <v>180</v>
      </c>
      <c r="C13" s="22"/>
      <c r="D13" s="21"/>
      <c r="E13" s="23"/>
      <c r="F13" s="20"/>
      <c r="G13" s="20"/>
      <c r="H13" s="20"/>
      <c r="I13" s="20"/>
      <c r="J13" s="20"/>
      <c r="K13" s="17" t="str">
        <f aca="false">IF(C13="","",IFERROR(C13*INDEX(04_Precios!$D$5:$D$59,MATCH($A13,04_Precios!$A$5:$A$59,0)),""))</f>
        <v/>
      </c>
      <c r="L13" s="18" t="str">
        <f aca="false">IFERROR(I13/H13,"")</f>
        <v/>
      </c>
      <c r="M13" s="18" t="str">
        <f aca="false">IFERROR(J13/I13,"")</f>
        <v/>
      </c>
      <c r="N13" s="21"/>
      <c r="O13" s="21"/>
      <c r="P13" s="20"/>
      <c r="Q13" s="2"/>
      <c r="R13" s="2"/>
      <c r="S13" s="2"/>
      <c r="T13" s="2"/>
      <c r="U13" s="2"/>
      <c r="V13" s="2"/>
      <c r="W13" s="2"/>
      <c r="X13" s="2"/>
      <c r="Y13" s="2"/>
      <c r="Z13" s="2"/>
    </row>
    <row r="14" customFormat="false" ht="42" hidden="false" customHeight="true" outlineLevel="0" collapsed="false">
      <c r="A14" s="12" t="s">
        <v>190</v>
      </c>
      <c r="B14" s="12" t="s">
        <v>191</v>
      </c>
      <c r="C14" s="22"/>
      <c r="D14" s="21"/>
      <c r="E14" s="23"/>
      <c r="F14" s="20"/>
      <c r="G14" s="20"/>
      <c r="H14" s="20"/>
      <c r="I14" s="20"/>
      <c r="J14" s="20"/>
      <c r="K14" s="17" t="str">
        <f aca="false">IF(C14="","",IFERROR(C14*INDEX(04_Precios!$D$5:$D$59,MATCH($A14,04_Precios!$A$5:$A$59,0)),""))</f>
        <v/>
      </c>
      <c r="L14" s="18" t="str">
        <f aca="false">IFERROR(I14/H14,"")</f>
        <v/>
      </c>
      <c r="M14" s="18" t="str">
        <f aca="false">IFERROR(J14/I14,"")</f>
        <v/>
      </c>
      <c r="N14" s="21"/>
      <c r="O14" s="21"/>
      <c r="P14" s="20"/>
      <c r="Q14" s="2"/>
      <c r="R14" s="2"/>
      <c r="S14" s="2"/>
      <c r="T14" s="2"/>
      <c r="U14" s="2"/>
      <c r="V14" s="2"/>
      <c r="W14" s="2"/>
      <c r="X14" s="2"/>
      <c r="Y14" s="2"/>
      <c r="Z14" s="2"/>
    </row>
    <row r="15" customFormat="false" ht="42" hidden="false" customHeight="true" outlineLevel="0" collapsed="false">
      <c r="A15" s="12" t="s">
        <v>200</v>
      </c>
      <c r="B15" s="12" t="s">
        <v>201</v>
      </c>
      <c r="C15" s="22"/>
      <c r="D15" s="21"/>
      <c r="E15" s="23"/>
      <c r="F15" s="20"/>
      <c r="G15" s="20"/>
      <c r="H15" s="20"/>
      <c r="I15" s="20"/>
      <c r="J15" s="20"/>
      <c r="K15" s="17" t="str">
        <f aca="false">IF(C15="","",IFERROR(C15*INDEX(04_Precios!$D$5:$D$59,MATCH($A15,04_Precios!$A$5:$A$59,0)),""))</f>
        <v/>
      </c>
      <c r="L15" s="18" t="str">
        <f aca="false">IFERROR(I15/H15,"")</f>
        <v/>
      </c>
      <c r="M15" s="18" t="str">
        <f aca="false">IFERROR(J15/I15,"")</f>
        <v/>
      </c>
      <c r="N15" s="21"/>
      <c r="O15" s="21"/>
      <c r="P15" s="20"/>
      <c r="Q15" s="2"/>
      <c r="R15" s="2"/>
      <c r="S15" s="2"/>
      <c r="T15" s="2"/>
      <c r="U15" s="2"/>
      <c r="V15" s="2"/>
      <c r="W15" s="2"/>
      <c r="X15" s="2"/>
      <c r="Y15" s="2"/>
      <c r="Z15" s="2"/>
    </row>
    <row r="16" customFormat="false" ht="42" hidden="false" customHeight="true" outlineLevel="0" collapsed="false">
      <c r="A16" s="12" t="s">
        <v>208</v>
      </c>
      <c r="B16" s="12" t="s">
        <v>209</v>
      </c>
      <c r="C16" s="22"/>
      <c r="D16" s="21"/>
      <c r="E16" s="23"/>
      <c r="F16" s="20"/>
      <c r="G16" s="20"/>
      <c r="H16" s="20"/>
      <c r="I16" s="20"/>
      <c r="J16" s="20"/>
      <c r="K16" s="17" t="str">
        <f aca="false">IF(C16="","",IFERROR(C16*INDEX(04_Precios!$D$5:$D$59,MATCH($A16,04_Precios!$A$5:$A$59,0)),""))</f>
        <v/>
      </c>
      <c r="L16" s="18" t="str">
        <f aca="false">IFERROR(I16/H16,"")</f>
        <v/>
      </c>
      <c r="M16" s="18" t="str">
        <f aca="false">IFERROR(J16/I16,"")</f>
        <v/>
      </c>
      <c r="N16" s="21"/>
      <c r="O16" s="21"/>
      <c r="P16" s="20"/>
      <c r="Q16" s="2"/>
      <c r="R16" s="2"/>
      <c r="S16" s="2"/>
      <c r="T16" s="2"/>
      <c r="U16" s="2"/>
      <c r="V16" s="2"/>
      <c r="W16" s="2"/>
      <c r="X16" s="2"/>
      <c r="Y16" s="2"/>
      <c r="Z16" s="2"/>
    </row>
    <row r="17" customFormat="false" ht="42" hidden="false" customHeight="true" outlineLevel="0" collapsed="false">
      <c r="A17" s="12" t="s">
        <v>219</v>
      </c>
      <c r="B17" s="12" t="s">
        <v>220</v>
      </c>
      <c r="C17" s="22"/>
      <c r="D17" s="21"/>
      <c r="E17" s="23"/>
      <c r="F17" s="20"/>
      <c r="G17" s="20"/>
      <c r="H17" s="20"/>
      <c r="I17" s="20"/>
      <c r="J17" s="20"/>
      <c r="K17" s="17" t="str">
        <f aca="false">IF(C17="","",IFERROR(C17*INDEX(04_Precios!$D$5:$D$59,MATCH($A17,04_Precios!$A$5:$A$59,0)),""))</f>
        <v/>
      </c>
      <c r="L17" s="18" t="str">
        <f aca="false">IFERROR(I17/H17,"")</f>
        <v/>
      </c>
      <c r="M17" s="18" t="str">
        <f aca="false">IFERROR(J17/I17,"")</f>
        <v/>
      </c>
      <c r="N17" s="21"/>
      <c r="O17" s="21"/>
      <c r="P17" s="20"/>
      <c r="Q17" s="2"/>
      <c r="R17" s="2"/>
      <c r="S17" s="2"/>
      <c r="T17" s="2"/>
      <c r="U17" s="2"/>
      <c r="V17" s="2"/>
      <c r="W17" s="2"/>
      <c r="X17" s="2"/>
      <c r="Y17" s="2"/>
      <c r="Z17" s="2"/>
    </row>
    <row r="18" customFormat="false" ht="42" hidden="false" customHeight="true" outlineLevel="0" collapsed="false">
      <c r="A18" s="12" t="s">
        <v>230</v>
      </c>
      <c r="B18" s="12" t="s">
        <v>231</v>
      </c>
      <c r="C18" s="22"/>
      <c r="D18" s="21"/>
      <c r="E18" s="23"/>
      <c r="F18" s="20"/>
      <c r="G18" s="20"/>
      <c r="H18" s="20"/>
      <c r="I18" s="20"/>
      <c r="J18" s="20"/>
      <c r="K18" s="17" t="str">
        <f aca="false">IF(C18="","",IFERROR(C18*INDEX(04_Precios!$D$5:$D$59,MATCH($A18,04_Precios!$A$5:$A$59,0)),""))</f>
        <v/>
      </c>
      <c r="L18" s="18" t="str">
        <f aca="false">IFERROR(I18/H18,"")</f>
        <v/>
      </c>
      <c r="M18" s="18" t="str">
        <f aca="false">IFERROR(J18/I18,"")</f>
        <v/>
      </c>
      <c r="N18" s="21"/>
      <c r="O18" s="21"/>
      <c r="P18" s="20"/>
      <c r="Q18" s="2"/>
      <c r="R18" s="2"/>
      <c r="S18" s="2"/>
      <c r="T18" s="2"/>
      <c r="U18" s="2"/>
      <c r="V18" s="2"/>
      <c r="W18" s="2"/>
      <c r="X18" s="2"/>
      <c r="Y18" s="2"/>
      <c r="Z18" s="2"/>
    </row>
    <row r="19" customFormat="false" ht="42" hidden="false" customHeight="true" outlineLevel="0" collapsed="false">
      <c r="A19" s="12" t="s">
        <v>241</v>
      </c>
      <c r="B19" s="12" t="s">
        <v>242</v>
      </c>
      <c r="C19" s="22"/>
      <c r="D19" s="21"/>
      <c r="E19" s="23"/>
      <c r="F19" s="20"/>
      <c r="G19" s="20"/>
      <c r="H19" s="20"/>
      <c r="I19" s="20"/>
      <c r="J19" s="20"/>
      <c r="K19" s="17" t="str">
        <f aca="false">IF(C19="","",IFERROR(C19*INDEX(04_Precios!$D$5:$D$59,MATCH($A19,04_Precios!$A$5:$A$59,0)),""))</f>
        <v/>
      </c>
      <c r="L19" s="18" t="str">
        <f aca="false">IFERROR(I19/H19,"")</f>
        <v/>
      </c>
      <c r="M19" s="18" t="str">
        <f aca="false">IFERROR(J19/I19,"")</f>
        <v/>
      </c>
      <c r="N19" s="21"/>
      <c r="O19" s="21"/>
      <c r="P19" s="20"/>
      <c r="Q19" s="2"/>
      <c r="R19" s="2"/>
      <c r="S19" s="2"/>
      <c r="T19" s="2"/>
      <c r="U19" s="2"/>
      <c r="V19" s="2"/>
      <c r="W19" s="2"/>
      <c r="X19" s="2"/>
      <c r="Y19" s="2"/>
      <c r="Z19" s="2"/>
    </row>
    <row r="20" customFormat="false" ht="42" hidden="false" customHeight="true" outlineLevel="0" collapsed="false">
      <c r="A20" s="12" t="s">
        <v>252</v>
      </c>
      <c r="B20" s="12" t="s">
        <v>253</v>
      </c>
      <c r="C20" s="22"/>
      <c r="D20" s="21"/>
      <c r="E20" s="23"/>
      <c r="F20" s="20"/>
      <c r="G20" s="20"/>
      <c r="H20" s="20"/>
      <c r="I20" s="20"/>
      <c r="J20" s="20"/>
      <c r="K20" s="17" t="str">
        <f aca="false">IF(C20="","",IFERROR(C20*INDEX(04_Precios!$D$5:$D$59,MATCH($A20,04_Precios!$A$5:$A$59,0)),""))</f>
        <v/>
      </c>
      <c r="L20" s="18" t="str">
        <f aca="false">IFERROR(I20/H20,"")</f>
        <v/>
      </c>
      <c r="M20" s="18" t="str">
        <f aca="false">IFERROR(J20/I20,"")</f>
        <v/>
      </c>
      <c r="N20" s="21"/>
      <c r="O20" s="21"/>
      <c r="P20" s="20"/>
      <c r="Q20" s="2"/>
      <c r="R20" s="2"/>
      <c r="S20" s="2"/>
      <c r="T20" s="2"/>
      <c r="U20" s="2"/>
      <c r="V20" s="2"/>
      <c r="W20" s="2"/>
      <c r="X20" s="2"/>
      <c r="Y20" s="2"/>
      <c r="Z20" s="2"/>
    </row>
    <row r="21" customFormat="false" ht="42" hidden="false" customHeight="true" outlineLevel="0" collapsed="false">
      <c r="A21" s="12" t="s">
        <v>263</v>
      </c>
      <c r="B21" s="12" t="s">
        <v>264</v>
      </c>
      <c r="C21" s="22"/>
      <c r="D21" s="21"/>
      <c r="E21" s="23"/>
      <c r="F21" s="20"/>
      <c r="G21" s="20"/>
      <c r="H21" s="20"/>
      <c r="I21" s="20"/>
      <c r="J21" s="20"/>
      <c r="K21" s="17" t="str">
        <f aca="false">IF(C21="","",IFERROR(C21*INDEX(04_Precios!$D$5:$D$59,MATCH($A21,04_Precios!$A$5:$A$59,0)),""))</f>
        <v/>
      </c>
      <c r="L21" s="18" t="str">
        <f aca="false">IFERROR(I21/H21,"")</f>
        <v/>
      </c>
      <c r="M21" s="18" t="str">
        <f aca="false">IFERROR(J21/I21,"")</f>
        <v/>
      </c>
      <c r="N21" s="21"/>
      <c r="O21" s="21"/>
      <c r="P21" s="20"/>
      <c r="Q21" s="2"/>
      <c r="R21" s="2"/>
      <c r="S21" s="2"/>
      <c r="T21" s="2"/>
      <c r="U21" s="2"/>
      <c r="V21" s="2"/>
      <c r="W21" s="2"/>
      <c r="X21" s="2"/>
      <c r="Y21" s="2"/>
      <c r="Z21" s="2"/>
    </row>
    <row r="22" customFormat="false" ht="42" hidden="false" customHeight="true" outlineLevel="0" collapsed="false">
      <c r="A22" s="12" t="s">
        <v>274</v>
      </c>
      <c r="B22" s="12" t="s">
        <v>275</v>
      </c>
      <c r="C22" s="22"/>
      <c r="D22" s="21"/>
      <c r="E22" s="23"/>
      <c r="F22" s="20"/>
      <c r="G22" s="20"/>
      <c r="H22" s="20"/>
      <c r="I22" s="20"/>
      <c r="J22" s="20"/>
      <c r="K22" s="17" t="str">
        <f aca="false">IF(C22="","",IFERROR(C22*INDEX(04_Precios!$D$5:$D$59,MATCH($A22,04_Precios!$A$5:$A$59,0)),""))</f>
        <v/>
      </c>
      <c r="L22" s="18" t="str">
        <f aca="false">IFERROR(I22/H22,"")</f>
        <v/>
      </c>
      <c r="M22" s="18" t="str">
        <f aca="false">IFERROR(J22/I22,"")</f>
        <v/>
      </c>
      <c r="N22" s="21"/>
      <c r="O22" s="21"/>
      <c r="P22" s="20"/>
      <c r="Q22" s="2"/>
      <c r="R22" s="2"/>
      <c r="S22" s="2"/>
      <c r="T22" s="2"/>
      <c r="U22" s="2"/>
      <c r="V22" s="2"/>
      <c r="W22" s="2"/>
      <c r="X22" s="2"/>
      <c r="Y22" s="2"/>
      <c r="Z22" s="2"/>
    </row>
    <row r="23" customFormat="false" ht="42" hidden="false" customHeight="true" outlineLevel="0" collapsed="false">
      <c r="A23" s="12" t="s">
        <v>285</v>
      </c>
      <c r="B23" s="12" t="s">
        <v>286</v>
      </c>
      <c r="C23" s="22"/>
      <c r="D23" s="21"/>
      <c r="E23" s="23"/>
      <c r="F23" s="20"/>
      <c r="G23" s="20"/>
      <c r="H23" s="20"/>
      <c r="I23" s="20"/>
      <c r="J23" s="20"/>
      <c r="K23" s="17" t="str">
        <f aca="false">IF(C23="","",IFERROR(C23*INDEX(04_Precios!$D$5:$D$59,MATCH($A23,04_Precios!$A$5:$A$59,0)),""))</f>
        <v/>
      </c>
      <c r="L23" s="18" t="str">
        <f aca="false">IFERROR(I23/H23,"")</f>
        <v/>
      </c>
      <c r="M23" s="18" t="str">
        <f aca="false">IFERROR(J23/I23,"")</f>
        <v/>
      </c>
      <c r="N23" s="21"/>
      <c r="O23" s="21"/>
      <c r="P23" s="20"/>
      <c r="Q23" s="2"/>
      <c r="R23" s="2"/>
      <c r="S23" s="2"/>
      <c r="T23" s="2"/>
      <c r="U23" s="2"/>
      <c r="V23" s="2"/>
      <c r="W23" s="2"/>
      <c r="X23" s="2"/>
      <c r="Y23" s="2"/>
      <c r="Z23" s="2"/>
    </row>
    <row r="24" customFormat="false" ht="42" hidden="false" customHeight="true" outlineLevel="0" collapsed="false">
      <c r="A24" s="12" t="s">
        <v>296</v>
      </c>
      <c r="B24" s="12" t="s">
        <v>297</v>
      </c>
      <c r="C24" s="22"/>
      <c r="D24" s="21"/>
      <c r="E24" s="23"/>
      <c r="F24" s="20"/>
      <c r="G24" s="20"/>
      <c r="H24" s="20"/>
      <c r="I24" s="20"/>
      <c r="J24" s="20"/>
      <c r="K24" s="17" t="str">
        <f aca="false">IF(C24="","",IFERROR(C24*INDEX(04_Precios!$D$5:$D$59,MATCH($A24,04_Precios!$A$5:$A$59,0)),""))</f>
        <v/>
      </c>
      <c r="L24" s="18" t="str">
        <f aca="false">IFERROR(I24/H24,"")</f>
        <v/>
      </c>
      <c r="M24" s="18" t="str">
        <f aca="false">IFERROR(J24/I24,"")</f>
        <v/>
      </c>
      <c r="N24" s="21"/>
      <c r="O24" s="21"/>
      <c r="P24" s="20"/>
      <c r="Q24" s="2"/>
      <c r="R24" s="2"/>
      <c r="S24" s="2"/>
      <c r="T24" s="2"/>
      <c r="U24" s="2"/>
      <c r="V24" s="2"/>
      <c r="W24" s="2"/>
      <c r="X24" s="2"/>
      <c r="Y24" s="2"/>
      <c r="Z24" s="2"/>
    </row>
    <row r="25" customFormat="false" ht="42" hidden="false" customHeight="true" outlineLevel="0" collapsed="false">
      <c r="A25" s="12" t="s">
        <v>306</v>
      </c>
      <c r="B25" s="12" t="s">
        <v>307</v>
      </c>
      <c r="C25" s="22"/>
      <c r="D25" s="21"/>
      <c r="E25" s="23"/>
      <c r="F25" s="20"/>
      <c r="G25" s="20"/>
      <c r="H25" s="20"/>
      <c r="I25" s="20"/>
      <c r="J25" s="20"/>
      <c r="K25" s="17" t="str">
        <f aca="false">IF(C25="","",IFERROR(C25*INDEX(04_Precios!$D$5:$D$59,MATCH($A25,04_Precios!$A$5:$A$59,0)),""))</f>
        <v/>
      </c>
      <c r="L25" s="18" t="str">
        <f aca="false">IFERROR(I25/H25,"")</f>
        <v/>
      </c>
      <c r="M25" s="18" t="str">
        <f aca="false">IFERROR(J25/I25,"")</f>
        <v/>
      </c>
      <c r="N25" s="21"/>
      <c r="O25" s="21"/>
      <c r="P25" s="20"/>
      <c r="Q25" s="2"/>
      <c r="R25" s="2"/>
      <c r="S25" s="2"/>
      <c r="T25" s="2"/>
      <c r="U25" s="2"/>
      <c r="V25" s="2"/>
      <c r="W25" s="2"/>
      <c r="X25" s="2"/>
      <c r="Y25" s="2"/>
      <c r="Z25" s="2"/>
    </row>
    <row r="26" customFormat="false" ht="42" hidden="false" customHeight="true" outlineLevel="0" collapsed="false">
      <c r="A26" s="12" t="s">
        <v>316</v>
      </c>
      <c r="B26" s="12" t="s">
        <v>317</v>
      </c>
      <c r="C26" s="22"/>
      <c r="D26" s="21"/>
      <c r="E26" s="23"/>
      <c r="F26" s="20"/>
      <c r="G26" s="20"/>
      <c r="H26" s="20"/>
      <c r="I26" s="20"/>
      <c r="J26" s="20"/>
      <c r="K26" s="17" t="str">
        <f aca="false">IF(C26="","",IFERROR(C26*INDEX(04_Precios!$D$5:$D$59,MATCH($A26,04_Precios!$A$5:$A$59,0)),""))</f>
        <v/>
      </c>
      <c r="L26" s="18" t="str">
        <f aca="false">IFERROR(I26/H26,"")</f>
        <v/>
      </c>
      <c r="M26" s="18" t="str">
        <f aca="false">IFERROR(J26/I26,"")</f>
        <v/>
      </c>
      <c r="N26" s="21"/>
      <c r="O26" s="21"/>
      <c r="P26" s="20"/>
      <c r="Q26" s="2"/>
      <c r="R26" s="2"/>
      <c r="S26" s="2"/>
      <c r="T26" s="2"/>
      <c r="U26" s="2"/>
      <c r="V26" s="2"/>
      <c r="W26" s="2"/>
      <c r="X26" s="2"/>
      <c r="Y26" s="2"/>
      <c r="Z26" s="2"/>
    </row>
    <row r="27" customFormat="false" ht="42" hidden="false" customHeight="true" outlineLevel="0" collapsed="false">
      <c r="A27" s="12" t="s">
        <v>325</v>
      </c>
      <c r="B27" s="12" t="s">
        <v>326</v>
      </c>
      <c r="C27" s="22"/>
      <c r="D27" s="21"/>
      <c r="E27" s="23"/>
      <c r="F27" s="20"/>
      <c r="G27" s="20"/>
      <c r="H27" s="20"/>
      <c r="I27" s="20"/>
      <c r="J27" s="20"/>
      <c r="K27" s="17" t="str">
        <f aca="false">IF(C27="","",IFERROR(C27*INDEX(04_Precios!$D$5:$D$59,MATCH($A27,04_Precios!$A$5:$A$59,0)),""))</f>
        <v/>
      </c>
      <c r="L27" s="18" t="str">
        <f aca="false">IFERROR(I27/H27,"")</f>
        <v/>
      </c>
      <c r="M27" s="18" t="str">
        <f aca="false">IFERROR(J27/I27,"")</f>
        <v/>
      </c>
      <c r="N27" s="21"/>
      <c r="O27" s="21"/>
      <c r="P27" s="20"/>
      <c r="Q27" s="2"/>
      <c r="R27" s="2"/>
      <c r="S27" s="2"/>
      <c r="T27" s="2"/>
      <c r="U27" s="2"/>
      <c r="V27" s="2"/>
      <c r="W27" s="2"/>
      <c r="X27" s="2"/>
      <c r="Y27" s="2"/>
      <c r="Z27" s="2"/>
    </row>
    <row r="28" customFormat="false" ht="42" hidden="false" customHeight="true" outlineLevel="0" collapsed="false">
      <c r="A28" s="12" t="s">
        <v>334</v>
      </c>
      <c r="B28" s="12" t="s">
        <v>335</v>
      </c>
      <c r="C28" s="22"/>
      <c r="D28" s="21"/>
      <c r="E28" s="23"/>
      <c r="F28" s="20"/>
      <c r="G28" s="20"/>
      <c r="H28" s="20"/>
      <c r="I28" s="20"/>
      <c r="J28" s="20"/>
      <c r="K28" s="17" t="str">
        <f aca="false">IF(C28="","",IFERROR(C28*INDEX(04_Precios!$D$5:$D$59,MATCH($A28,04_Precios!$A$5:$A$59,0)),""))</f>
        <v/>
      </c>
      <c r="L28" s="18" t="str">
        <f aca="false">IFERROR(I28/H28,"")</f>
        <v/>
      </c>
      <c r="M28" s="18" t="str">
        <f aca="false">IFERROR(J28/I28,"")</f>
        <v/>
      </c>
      <c r="N28" s="21"/>
      <c r="O28" s="21"/>
      <c r="P28" s="20"/>
      <c r="Q28" s="2"/>
      <c r="R28" s="2"/>
      <c r="S28" s="2"/>
      <c r="T28" s="2"/>
      <c r="U28" s="2"/>
      <c r="V28" s="2"/>
      <c r="W28" s="2"/>
      <c r="X28" s="2"/>
      <c r="Y28" s="2"/>
      <c r="Z28" s="2"/>
    </row>
    <row r="29" customFormat="false" ht="42" hidden="false" customHeight="true" outlineLevel="0" collapsed="false">
      <c r="A29" s="12" t="s">
        <v>345</v>
      </c>
      <c r="B29" s="12" t="s">
        <v>346</v>
      </c>
      <c r="C29" s="22"/>
      <c r="D29" s="21"/>
      <c r="E29" s="23"/>
      <c r="F29" s="20"/>
      <c r="G29" s="20"/>
      <c r="H29" s="20"/>
      <c r="I29" s="20"/>
      <c r="J29" s="20"/>
      <c r="K29" s="17" t="str">
        <f aca="false">IF(C29="","",IFERROR(C29*INDEX(04_Precios!$D$5:$D$59,MATCH($A29,04_Precios!$A$5:$A$59,0)),""))</f>
        <v/>
      </c>
      <c r="L29" s="18" t="str">
        <f aca="false">IFERROR(I29/H29,"")</f>
        <v/>
      </c>
      <c r="M29" s="18" t="str">
        <f aca="false">IFERROR(J29/I29,"")</f>
        <v/>
      </c>
      <c r="N29" s="21"/>
      <c r="O29" s="21"/>
      <c r="P29" s="20"/>
      <c r="Q29" s="2"/>
      <c r="R29" s="2"/>
      <c r="S29" s="2"/>
      <c r="T29" s="2"/>
      <c r="U29" s="2"/>
      <c r="V29" s="2"/>
      <c r="W29" s="2"/>
      <c r="X29" s="2"/>
      <c r="Y29" s="2"/>
      <c r="Z29" s="2"/>
    </row>
    <row r="30" customFormat="false" ht="42" hidden="false" customHeight="true" outlineLevel="0" collapsed="false">
      <c r="A30" s="12" t="s">
        <v>355</v>
      </c>
      <c r="B30" s="12" t="s">
        <v>356</v>
      </c>
      <c r="C30" s="22"/>
      <c r="D30" s="21"/>
      <c r="E30" s="23"/>
      <c r="F30" s="20"/>
      <c r="G30" s="20"/>
      <c r="H30" s="20"/>
      <c r="I30" s="20"/>
      <c r="J30" s="20"/>
      <c r="K30" s="17" t="str">
        <f aca="false">IF(C30="","",IFERROR(C30*INDEX(04_Precios!$D$5:$D$59,MATCH($A30,04_Precios!$A$5:$A$59,0)),""))</f>
        <v/>
      </c>
      <c r="L30" s="18" t="str">
        <f aca="false">IFERROR(I30/H30,"")</f>
        <v/>
      </c>
      <c r="M30" s="18" t="str">
        <f aca="false">IFERROR(J30/I30,"")</f>
        <v/>
      </c>
      <c r="N30" s="21"/>
      <c r="O30" s="21"/>
      <c r="P30" s="20"/>
      <c r="Q30" s="2"/>
      <c r="R30" s="2"/>
      <c r="S30" s="2"/>
      <c r="T30" s="2"/>
      <c r="U30" s="2"/>
      <c r="V30" s="2"/>
      <c r="W30" s="2"/>
      <c r="X30" s="2"/>
      <c r="Y30" s="2"/>
      <c r="Z30" s="2"/>
    </row>
    <row r="31" customFormat="false" ht="42" hidden="false" customHeight="true" outlineLevel="0" collapsed="false">
      <c r="A31" s="12" t="s">
        <v>362</v>
      </c>
      <c r="B31" s="12" t="s">
        <v>363</v>
      </c>
      <c r="C31" s="22"/>
      <c r="D31" s="21"/>
      <c r="E31" s="23"/>
      <c r="F31" s="20"/>
      <c r="G31" s="20"/>
      <c r="H31" s="20"/>
      <c r="I31" s="20"/>
      <c r="J31" s="20"/>
      <c r="K31" s="17" t="str">
        <f aca="false">IF(C31="","",IFERROR(C31*INDEX(04_Precios!$D$5:$D$59,MATCH($A31,04_Precios!$A$5:$A$59,0)),""))</f>
        <v/>
      </c>
      <c r="L31" s="18" t="str">
        <f aca="false">IFERROR(I31/H31,"")</f>
        <v/>
      </c>
      <c r="M31" s="18" t="str">
        <f aca="false">IFERROR(J31/I31,"")</f>
        <v/>
      </c>
      <c r="N31" s="21"/>
      <c r="O31" s="21"/>
      <c r="P31" s="20"/>
      <c r="Q31" s="2"/>
      <c r="R31" s="2"/>
      <c r="S31" s="2"/>
      <c r="T31" s="2"/>
      <c r="U31" s="2"/>
      <c r="V31" s="2"/>
      <c r="W31" s="2"/>
      <c r="X31" s="2"/>
      <c r="Y31" s="2"/>
      <c r="Z31" s="2"/>
    </row>
    <row r="32" customFormat="false" ht="42" hidden="false" customHeight="true" outlineLevel="0" collapsed="false">
      <c r="A32" s="12" t="s">
        <v>369</v>
      </c>
      <c r="B32" s="12" t="s">
        <v>370</v>
      </c>
      <c r="C32" s="22"/>
      <c r="D32" s="21"/>
      <c r="E32" s="23"/>
      <c r="F32" s="20"/>
      <c r="G32" s="20"/>
      <c r="H32" s="20"/>
      <c r="I32" s="20"/>
      <c r="J32" s="20"/>
      <c r="K32" s="17" t="str">
        <f aca="false">IF(C32="","",IFERROR(C32*INDEX(04_Precios!$D$5:$D$59,MATCH($A32,04_Precios!$A$5:$A$59,0)),""))</f>
        <v/>
      </c>
      <c r="L32" s="18" t="str">
        <f aca="false">IFERROR(I32/H32,"")</f>
        <v/>
      </c>
      <c r="M32" s="18" t="str">
        <f aca="false">IFERROR(J32/I32,"")</f>
        <v/>
      </c>
      <c r="N32" s="21"/>
      <c r="O32" s="21"/>
      <c r="P32" s="20"/>
      <c r="Q32" s="2"/>
      <c r="R32" s="2"/>
      <c r="S32" s="2"/>
      <c r="T32" s="2"/>
      <c r="U32" s="2"/>
      <c r="V32" s="2"/>
      <c r="W32" s="2"/>
      <c r="X32" s="2"/>
      <c r="Y32" s="2"/>
      <c r="Z32" s="2"/>
    </row>
    <row r="33" customFormat="false" ht="42" hidden="false" customHeight="true" outlineLevel="0" collapsed="false">
      <c r="A33" s="12" t="s">
        <v>378</v>
      </c>
      <c r="B33" s="12" t="s">
        <v>379</v>
      </c>
      <c r="C33" s="22"/>
      <c r="D33" s="21"/>
      <c r="E33" s="23"/>
      <c r="F33" s="20"/>
      <c r="G33" s="20"/>
      <c r="H33" s="20"/>
      <c r="I33" s="20"/>
      <c r="J33" s="20"/>
      <c r="K33" s="17" t="str">
        <f aca="false">IF(C33="","",IFERROR(C33*INDEX(04_Precios!$D$5:$D$59,MATCH($A33,04_Precios!$A$5:$A$59,0)),""))</f>
        <v/>
      </c>
      <c r="L33" s="18" t="str">
        <f aca="false">IFERROR(I33/H33,"")</f>
        <v/>
      </c>
      <c r="M33" s="18" t="str">
        <f aca="false">IFERROR(J33/I33,"")</f>
        <v/>
      </c>
      <c r="N33" s="21"/>
      <c r="O33" s="21"/>
      <c r="P33" s="20"/>
      <c r="Q33" s="2"/>
      <c r="R33" s="2"/>
      <c r="S33" s="2"/>
      <c r="T33" s="2"/>
      <c r="U33" s="2"/>
      <c r="V33" s="2"/>
      <c r="W33" s="2"/>
      <c r="X33" s="2"/>
      <c r="Y33" s="2"/>
      <c r="Z33" s="2"/>
    </row>
    <row r="34" customFormat="false" ht="42" hidden="false" customHeight="true" outlineLevel="0" collapsed="false">
      <c r="A34" s="12" t="s">
        <v>387</v>
      </c>
      <c r="B34" s="12" t="s">
        <v>388</v>
      </c>
      <c r="C34" s="22"/>
      <c r="D34" s="21"/>
      <c r="E34" s="23"/>
      <c r="F34" s="20"/>
      <c r="G34" s="20"/>
      <c r="H34" s="20"/>
      <c r="I34" s="20"/>
      <c r="J34" s="20"/>
      <c r="K34" s="17" t="str">
        <f aca="false">IF(C34="","",IFERROR(C34*INDEX(04_Precios!$D$5:$D$59,MATCH($A34,04_Precios!$A$5:$A$59,0)),""))</f>
        <v/>
      </c>
      <c r="L34" s="18" t="str">
        <f aca="false">IFERROR(I34/H34,"")</f>
        <v/>
      </c>
      <c r="M34" s="18" t="str">
        <f aca="false">IFERROR(J34/I34,"")</f>
        <v/>
      </c>
      <c r="N34" s="21"/>
      <c r="O34" s="21"/>
      <c r="P34" s="20"/>
      <c r="Q34" s="2"/>
      <c r="R34" s="2"/>
      <c r="S34" s="2"/>
      <c r="T34" s="2"/>
      <c r="U34" s="2"/>
      <c r="V34" s="2"/>
      <c r="W34" s="2"/>
      <c r="X34" s="2"/>
      <c r="Y34" s="2"/>
      <c r="Z34" s="2"/>
    </row>
    <row r="35" customFormat="false" ht="42" hidden="false" customHeight="true" outlineLevel="0" collapsed="false">
      <c r="A35" s="12" t="s">
        <v>396</v>
      </c>
      <c r="B35" s="12" t="s">
        <v>397</v>
      </c>
      <c r="C35" s="22"/>
      <c r="D35" s="21"/>
      <c r="E35" s="23"/>
      <c r="F35" s="20"/>
      <c r="G35" s="20"/>
      <c r="H35" s="20"/>
      <c r="I35" s="20"/>
      <c r="J35" s="20"/>
      <c r="K35" s="17" t="str">
        <f aca="false">IF(C35="","",IFERROR(C35*INDEX(04_Precios!$D$5:$D$59,MATCH($A35,04_Precios!$A$5:$A$59,0)),""))</f>
        <v/>
      </c>
      <c r="L35" s="18" t="str">
        <f aca="false">IFERROR(I35/H35,"")</f>
        <v/>
      </c>
      <c r="M35" s="18" t="str">
        <f aca="false">IFERROR(J35/I35,"")</f>
        <v/>
      </c>
      <c r="N35" s="21"/>
      <c r="O35" s="21"/>
      <c r="P35" s="20"/>
      <c r="Q35" s="2"/>
      <c r="R35" s="2"/>
      <c r="S35" s="2"/>
      <c r="T35" s="2"/>
      <c r="U35" s="2"/>
      <c r="V35" s="2"/>
      <c r="W35" s="2"/>
      <c r="X35" s="2"/>
      <c r="Y35" s="2"/>
      <c r="Z35" s="2"/>
    </row>
    <row r="36" customFormat="false" ht="42" hidden="false" customHeight="true" outlineLevel="0" collapsed="false">
      <c r="A36" s="12" t="s">
        <v>407</v>
      </c>
      <c r="B36" s="12" t="s">
        <v>408</v>
      </c>
      <c r="C36" s="22"/>
      <c r="D36" s="21"/>
      <c r="E36" s="23"/>
      <c r="F36" s="20"/>
      <c r="G36" s="20"/>
      <c r="H36" s="20"/>
      <c r="I36" s="20"/>
      <c r="J36" s="20"/>
      <c r="K36" s="17" t="str">
        <f aca="false">IF(C36="","",IFERROR(C36*INDEX(04_Precios!$D$5:$D$59,MATCH($A36,04_Precios!$A$5:$A$59,0)),""))</f>
        <v/>
      </c>
      <c r="L36" s="18" t="str">
        <f aca="false">IFERROR(I36/H36,"")</f>
        <v/>
      </c>
      <c r="M36" s="18" t="str">
        <f aca="false">IFERROR(J36/I36,"")</f>
        <v/>
      </c>
      <c r="N36" s="21"/>
      <c r="O36" s="21"/>
      <c r="P36" s="20"/>
      <c r="Q36" s="2"/>
      <c r="R36" s="2"/>
      <c r="S36" s="2"/>
      <c r="T36" s="2"/>
      <c r="U36" s="2"/>
      <c r="V36" s="2"/>
      <c r="W36" s="2"/>
      <c r="X36" s="2"/>
      <c r="Y36" s="2"/>
      <c r="Z36" s="2"/>
    </row>
    <row r="37" customFormat="false" ht="42" hidden="false" customHeight="true" outlineLevel="0" collapsed="false">
      <c r="A37" s="12" t="s">
        <v>418</v>
      </c>
      <c r="B37" s="12" t="s">
        <v>419</v>
      </c>
      <c r="C37" s="22"/>
      <c r="D37" s="21"/>
      <c r="E37" s="23"/>
      <c r="F37" s="20"/>
      <c r="G37" s="20"/>
      <c r="H37" s="20"/>
      <c r="I37" s="20"/>
      <c r="J37" s="20"/>
      <c r="K37" s="17" t="str">
        <f aca="false">IF(C37="","",IFERROR(C37*INDEX(04_Precios!$D$5:$D$59,MATCH($A37,04_Precios!$A$5:$A$59,0)),""))</f>
        <v/>
      </c>
      <c r="L37" s="18" t="str">
        <f aca="false">IFERROR(I37/H37,"")</f>
        <v/>
      </c>
      <c r="M37" s="18" t="str">
        <f aca="false">IFERROR(J37/I37,"")</f>
        <v/>
      </c>
      <c r="N37" s="21"/>
      <c r="O37" s="21"/>
      <c r="P37" s="20"/>
      <c r="Q37" s="2"/>
      <c r="R37" s="2"/>
      <c r="S37" s="2"/>
      <c r="T37" s="2"/>
      <c r="U37" s="2"/>
      <c r="V37" s="2"/>
      <c r="W37" s="2"/>
      <c r="X37" s="2"/>
      <c r="Y37" s="2"/>
      <c r="Z37" s="2"/>
    </row>
    <row r="38" customFormat="false" ht="42" hidden="false" customHeight="true" outlineLevel="0" collapsed="false">
      <c r="A38" s="12" t="s">
        <v>429</v>
      </c>
      <c r="B38" s="12" t="s">
        <v>430</v>
      </c>
      <c r="C38" s="22"/>
      <c r="D38" s="21"/>
      <c r="E38" s="23"/>
      <c r="F38" s="20"/>
      <c r="G38" s="20"/>
      <c r="H38" s="20"/>
      <c r="I38" s="20"/>
      <c r="J38" s="20"/>
      <c r="K38" s="17" t="str">
        <f aca="false">IF(C38="","",IFERROR(C38*INDEX(04_Precios!$D$5:$D$59,MATCH($A38,04_Precios!$A$5:$A$59,0)),""))</f>
        <v/>
      </c>
      <c r="L38" s="18" t="str">
        <f aca="false">IFERROR(I38/H38,"")</f>
        <v/>
      </c>
      <c r="M38" s="18" t="str">
        <f aca="false">IFERROR(J38/I38,"")</f>
        <v/>
      </c>
      <c r="N38" s="21"/>
      <c r="O38" s="21"/>
      <c r="P38" s="20"/>
      <c r="Q38" s="2"/>
      <c r="R38" s="2"/>
      <c r="S38" s="2"/>
      <c r="T38" s="2"/>
      <c r="U38" s="2"/>
      <c r="V38" s="2"/>
      <c r="W38" s="2"/>
      <c r="X38" s="2"/>
      <c r="Y38" s="2"/>
      <c r="Z38" s="2"/>
    </row>
    <row r="39" customFormat="false" ht="42" hidden="false" customHeight="true" outlineLevel="0" collapsed="false">
      <c r="A39" s="12" t="s">
        <v>439</v>
      </c>
      <c r="B39" s="12" t="s">
        <v>440</v>
      </c>
      <c r="C39" s="22"/>
      <c r="D39" s="21"/>
      <c r="E39" s="23"/>
      <c r="F39" s="20"/>
      <c r="G39" s="20"/>
      <c r="H39" s="20"/>
      <c r="I39" s="20"/>
      <c r="J39" s="20"/>
      <c r="K39" s="17" t="str">
        <f aca="false">IF(C39="","",IFERROR(C39*INDEX(04_Precios!$D$5:$D$59,MATCH($A39,04_Precios!$A$5:$A$59,0)),""))</f>
        <v/>
      </c>
      <c r="L39" s="18" t="str">
        <f aca="false">IFERROR(I39/H39,"")</f>
        <v/>
      </c>
      <c r="M39" s="18" t="str">
        <f aca="false">IFERROR(J39/I39,"")</f>
        <v/>
      </c>
      <c r="N39" s="21"/>
      <c r="O39" s="21"/>
      <c r="P39" s="20"/>
      <c r="Q39" s="2"/>
      <c r="R39" s="2"/>
      <c r="S39" s="2"/>
      <c r="T39" s="2"/>
      <c r="U39" s="2"/>
      <c r="V39" s="2"/>
      <c r="W39" s="2"/>
      <c r="X39" s="2"/>
      <c r="Y39" s="2"/>
      <c r="Z39" s="2"/>
    </row>
    <row r="40" customFormat="false" ht="42" hidden="false" customHeight="true" outlineLevel="0" collapsed="false">
      <c r="A40" s="12" t="s">
        <v>450</v>
      </c>
      <c r="B40" s="12" t="s">
        <v>451</v>
      </c>
      <c r="C40" s="22"/>
      <c r="D40" s="21"/>
      <c r="E40" s="23"/>
      <c r="F40" s="20"/>
      <c r="G40" s="20"/>
      <c r="H40" s="20"/>
      <c r="I40" s="20"/>
      <c r="J40" s="20"/>
      <c r="K40" s="17" t="str">
        <f aca="false">IF(C40="","",IFERROR(C40*INDEX(04_Precios!$D$5:$D$59,MATCH($A40,04_Precios!$A$5:$A$59,0)),""))</f>
        <v/>
      </c>
      <c r="L40" s="18" t="str">
        <f aca="false">IFERROR(I40/H40,"")</f>
        <v/>
      </c>
      <c r="M40" s="18" t="str">
        <f aca="false">IFERROR(J40/I40,"")</f>
        <v/>
      </c>
      <c r="N40" s="21"/>
      <c r="O40" s="21"/>
      <c r="P40" s="20"/>
      <c r="Q40" s="2"/>
      <c r="R40" s="2"/>
      <c r="S40" s="2"/>
      <c r="T40" s="2"/>
      <c r="U40" s="2"/>
      <c r="V40" s="2"/>
      <c r="W40" s="2"/>
      <c r="X40" s="2"/>
      <c r="Y40" s="2"/>
      <c r="Z40" s="2"/>
    </row>
    <row r="41" customFormat="false" ht="42" hidden="false" customHeight="true" outlineLevel="0" collapsed="false">
      <c r="A41" s="12" t="s">
        <v>461</v>
      </c>
      <c r="B41" s="12" t="s">
        <v>462</v>
      </c>
      <c r="C41" s="22"/>
      <c r="D41" s="21"/>
      <c r="E41" s="23"/>
      <c r="F41" s="20"/>
      <c r="G41" s="20"/>
      <c r="H41" s="20"/>
      <c r="I41" s="20"/>
      <c r="J41" s="20"/>
      <c r="K41" s="17" t="str">
        <f aca="false">IF(C41="","",IFERROR(C41*INDEX(04_Precios!$D$5:$D$59,MATCH($A41,04_Precios!$A$5:$A$59,0)),""))</f>
        <v/>
      </c>
      <c r="L41" s="18" t="str">
        <f aca="false">IFERROR(I41/H41,"")</f>
        <v/>
      </c>
      <c r="M41" s="18" t="str">
        <f aca="false">IFERROR(J41/I41,"")</f>
        <v/>
      </c>
      <c r="N41" s="21"/>
      <c r="O41" s="21"/>
      <c r="P41" s="20"/>
      <c r="Q41" s="2"/>
      <c r="R41" s="2"/>
      <c r="S41" s="2"/>
      <c r="T41" s="2"/>
      <c r="U41" s="2"/>
      <c r="V41" s="2"/>
      <c r="W41" s="2"/>
      <c r="X41" s="2"/>
      <c r="Y41" s="2"/>
      <c r="Z41" s="2"/>
    </row>
    <row r="42" customFormat="false" ht="42" hidden="false" customHeight="true" outlineLevel="0" collapsed="false">
      <c r="A42" s="12" t="s">
        <v>471</v>
      </c>
      <c r="B42" s="12" t="s">
        <v>472</v>
      </c>
      <c r="C42" s="22"/>
      <c r="D42" s="21"/>
      <c r="E42" s="23"/>
      <c r="F42" s="20"/>
      <c r="G42" s="20"/>
      <c r="H42" s="20"/>
      <c r="I42" s="20"/>
      <c r="J42" s="20"/>
      <c r="K42" s="17" t="str">
        <f aca="false">IF(C42="","",IFERROR(C42*INDEX(04_Precios!$D$5:$D$59,MATCH($A42,04_Precios!$A$5:$A$59,0)),""))</f>
        <v/>
      </c>
      <c r="L42" s="18" t="str">
        <f aca="false">IFERROR(I42/H42,"")</f>
        <v/>
      </c>
      <c r="M42" s="18" t="str">
        <f aca="false">IFERROR(J42/I42,"")</f>
        <v/>
      </c>
      <c r="N42" s="21"/>
      <c r="O42" s="21"/>
      <c r="P42" s="20"/>
      <c r="Q42" s="2"/>
      <c r="R42" s="2"/>
      <c r="S42" s="2"/>
      <c r="T42" s="2"/>
      <c r="U42" s="2"/>
      <c r="V42" s="2"/>
      <c r="W42" s="2"/>
      <c r="X42" s="2"/>
      <c r="Y42" s="2"/>
      <c r="Z42" s="2"/>
    </row>
    <row r="43" customFormat="false" ht="42" hidden="false" customHeight="true" outlineLevel="0" collapsed="false">
      <c r="A43" s="12" t="s">
        <v>482</v>
      </c>
      <c r="B43" s="12" t="s">
        <v>483</v>
      </c>
      <c r="C43" s="22"/>
      <c r="D43" s="21"/>
      <c r="E43" s="23"/>
      <c r="F43" s="20"/>
      <c r="G43" s="20"/>
      <c r="H43" s="20"/>
      <c r="I43" s="20"/>
      <c r="J43" s="20"/>
      <c r="K43" s="17" t="str">
        <f aca="false">IF(C43="","",IFERROR(C43*INDEX(04_Precios!$D$5:$D$59,MATCH($A43,04_Precios!$A$5:$A$59,0)),""))</f>
        <v/>
      </c>
      <c r="L43" s="18" t="str">
        <f aca="false">IFERROR(I43/H43,"")</f>
        <v/>
      </c>
      <c r="M43" s="18" t="str">
        <f aca="false">IFERROR(J43/I43,"")</f>
        <v/>
      </c>
      <c r="N43" s="21"/>
      <c r="O43" s="21"/>
      <c r="P43" s="20"/>
      <c r="Q43" s="2"/>
      <c r="R43" s="2"/>
      <c r="S43" s="2"/>
      <c r="T43" s="2"/>
      <c r="U43" s="2"/>
      <c r="V43" s="2"/>
      <c r="W43" s="2"/>
      <c r="X43" s="2"/>
      <c r="Y43" s="2"/>
      <c r="Z43" s="2"/>
    </row>
    <row r="44" customFormat="false" ht="42" hidden="false" customHeight="true" outlineLevel="0" collapsed="false">
      <c r="A44" s="12" t="s">
        <v>493</v>
      </c>
      <c r="B44" s="12" t="s">
        <v>494</v>
      </c>
      <c r="C44" s="22"/>
      <c r="D44" s="21"/>
      <c r="E44" s="23"/>
      <c r="F44" s="20"/>
      <c r="G44" s="20"/>
      <c r="H44" s="20"/>
      <c r="I44" s="20"/>
      <c r="J44" s="20"/>
      <c r="K44" s="17" t="str">
        <f aca="false">IF(C44="","",IFERROR(C44*INDEX(04_Precios!$D$5:$D$59,MATCH($A44,04_Precios!$A$5:$A$59,0)),""))</f>
        <v/>
      </c>
      <c r="L44" s="18" t="str">
        <f aca="false">IFERROR(I44/H44,"")</f>
        <v/>
      </c>
      <c r="M44" s="18" t="str">
        <f aca="false">IFERROR(J44/I44,"")</f>
        <v/>
      </c>
      <c r="N44" s="21"/>
      <c r="O44" s="21"/>
      <c r="P44" s="20"/>
      <c r="Q44" s="2"/>
      <c r="R44" s="2"/>
      <c r="S44" s="2"/>
      <c r="T44" s="2"/>
      <c r="U44" s="2"/>
      <c r="V44" s="2"/>
      <c r="W44" s="2"/>
      <c r="X44" s="2"/>
      <c r="Y44" s="2"/>
      <c r="Z44" s="2"/>
    </row>
    <row r="45" customFormat="false" ht="42" hidden="false" customHeight="true" outlineLevel="0" collapsed="false">
      <c r="A45" s="12" t="s">
        <v>504</v>
      </c>
      <c r="B45" s="12" t="s">
        <v>505</v>
      </c>
      <c r="C45" s="22"/>
      <c r="D45" s="21"/>
      <c r="E45" s="23"/>
      <c r="F45" s="20"/>
      <c r="G45" s="20"/>
      <c r="H45" s="20"/>
      <c r="I45" s="20"/>
      <c r="J45" s="20"/>
      <c r="K45" s="17" t="str">
        <f aca="false">IF(C45="","",IFERROR(C45*INDEX(04_Precios!$D$5:$D$59,MATCH($A45,04_Precios!$A$5:$A$59,0)),""))</f>
        <v/>
      </c>
      <c r="L45" s="18" t="str">
        <f aca="false">IFERROR(I45/H45,"")</f>
        <v/>
      </c>
      <c r="M45" s="18" t="str">
        <f aca="false">IFERROR(J45/I45,"")</f>
        <v/>
      </c>
      <c r="N45" s="21"/>
      <c r="O45" s="21"/>
      <c r="P45" s="20"/>
      <c r="Q45" s="2"/>
      <c r="R45" s="2"/>
      <c r="S45" s="2"/>
      <c r="T45" s="2"/>
      <c r="U45" s="2"/>
      <c r="V45" s="2"/>
      <c r="W45" s="2"/>
      <c r="X45" s="2"/>
      <c r="Y45" s="2"/>
      <c r="Z45" s="2"/>
    </row>
    <row r="46" customFormat="false" ht="42" hidden="false" customHeight="true" outlineLevel="0" collapsed="false">
      <c r="A46" s="12" t="s">
        <v>515</v>
      </c>
      <c r="B46" s="12" t="s">
        <v>516</v>
      </c>
      <c r="C46" s="22"/>
      <c r="D46" s="21"/>
      <c r="E46" s="23"/>
      <c r="F46" s="20"/>
      <c r="G46" s="20"/>
      <c r="H46" s="20"/>
      <c r="I46" s="20"/>
      <c r="J46" s="20"/>
      <c r="K46" s="17" t="str">
        <f aca="false">IF(C46="","",IFERROR(C46*INDEX(04_Precios!$D$5:$D$59,MATCH($A46,04_Precios!$A$5:$A$59,0)),""))</f>
        <v/>
      </c>
      <c r="L46" s="18" t="str">
        <f aca="false">IFERROR(I46/H46,"")</f>
        <v/>
      </c>
      <c r="M46" s="18" t="str">
        <f aca="false">IFERROR(J46/I46,"")</f>
        <v/>
      </c>
      <c r="N46" s="21"/>
      <c r="O46" s="21"/>
      <c r="P46" s="20"/>
      <c r="Q46" s="2"/>
      <c r="R46" s="2"/>
      <c r="S46" s="2"/>
      <c r="T46" s="2"/>
      <c r="U46" s="2"/>
      <c r="V46" s="2"/>
      <c r="W46" s="2"/>
      <c r="X46" s="2"/>
      <c r="Y46" s="2"/>
      <c r="Z46" s="2"/>
    </row>
    <row r="47" customFormat="false" ht="42" hidden="false" customHeight="true" outlineLevel="0" collapsed="false">
      <c r="A47" s="12" t="s">
        <v>526</v>
      </c>
      <c r="B47" s="12" t="s">
        <v>527</v>
      </c>
      <c r="C47" s="22"/>
      <c r="D47" s="21"/>
      <c r="E47" s="23"/>
      <c r="F47" s="20"/>
      <c r="G47" s="20"/>
      <c r="H47" s="20"/>
      <c r="I47" s="20"/>
      <c r="J47" s="20"/>
      <c r="K47" s="17" t="str">
        <f aca="false">IF(C47="","",IFERROR(C47*INDEX(04_Precios!$D$5:$D$59,MATCH($A47,04_Precios!$A$5:$A$59,0)),""))</f>
        <v/>
      </c>
      <c r="L47" s="18" t="str">
        <f aca="false">IFERROR(I47/H47,"")</f>
        <v/>
      </c>
      <c r="M47" s="18" t="str">
        <f aca="false">IFERROR(J47/I47,"")</f>
        <v/>
      </c>
      <c r="N47" s="21"/>
      <c r="O47" s="21"/>
      <c r="P47" s="20"/>
      <c r="Q47" s="2"/>
      <c r="R47" s="2"/>
      <c r="S47" s="2"/>
      <c r="T47" s="2"/>
      <c r="U47" s="2"/>
      <c r="V47" s="2"/>
      <c r="W47" s="2"/>
      <c r="X47" s="2"/>
      <c r="Y47" s="2"/>
      <c r="Z47" s="2"/>
    </row>
    <row r="48" customFormat="false" ht="42" hidden="false" customHeight="true" outlineLevel="0" collapsed="false">
      <c r="A48" s="12" t="s">
        <v>537</v>
      </c>
      <c r="B48" s="12" t="s">
        <v>538</v>
      </c>
      <c r="C48" s="22"/>
      <c r="D48" s="21"/>
      <c r="E48" s="23"/>
      <c r="F48" s="20"/>
      <c r="G48" s="20"/>
      <c r="H48" s="20"/>
      <c r="I48" s="20"/>
      <c r="J48" s="20"/>
      <c r="K48" s="17" t="str">
        <f aca="false">IF(C48="","",IFERROR(C48*INDEX(04_Precios!$D$5:$D$59,MATCH($A48,04_Precios!$A$5:$A$59,0)),""))</f>
        <v/>
      </c>
      <c r="L48" s="18" t="str">
        <f aca="false">IFERROR(I48/H48,"")</f>
        <v/>
      </c>
      <c r="M48" s="18" t="str">
        <f aca="false">IFERROR(J48/I48,"")</f>
        <v/>
      </c>
      <c r="N48" s="21"/>
      <c r="O48" s="21"/>
      <c r="P48" s="20"/>
      <c r="Q48" s="2"/>
      <c r="R48" s="2"/>
      <c r="S48" s="2"/>
      <c r="T48" s="2"/>
      <c r="U48" s="2"/>
      <c r="V48" s="2"/>
      <c r="W48" s="2"/>
      <c r="X48" s="2"/>
      <c r="Y48" s="2"/>
      <c r="Z48" s="2"/>
    </row>
    <row r="49" customFormat="false" ht="42" hidden="false" customHeight="true" outlineLevel="0" collapsed="false">
      <c r="A49" s="12" t="s">
        <v>548</v>
      </c>
      <c r="B49" s="12" t="s">
        <v>549</v>
      </c>
      <c r="C49" s="22"/>
      <c r="D49" s="21"/>
      <c r="E49" s="23"/>
      <c r="F49" s="20"/>
      <c r="G49" s="20"/>
      <c r="H49" s="20"/>
      <c r="I49" s="20"/>
      <c r="J49" s="20"/>
      <c r="K49" s="17" t="str">
        <f aca="false">IF(C49="","",IFERROR(C49*INDEX(04_Precios!$D$5:$D$59,MATCH($A49,04_Precios!$A$5:$A$59,0)),""))</f>
        <v/>
      </c>
      <c r="L49" s="18" t="str">
        <f aca="false">IFERROR(I49/H49,"")</f>
        <v/>
      </c>
      <c r="M49" s="18" t="str">
        <f aca="false">IFERROR(J49/I49,"")</f>
        <v/>
      </c>
      <c r="N49" s="21"/>
      <c r="O49" s="21"/>
      <c r="P49" s="20"/>
      <c r="Q49" s="2"/>
      <c r="R49" s="2"/>
      <c r="S49" s="2"/>
      <c r="T49" s="2"/>
      <c r="U49" s="2"/>
      <c r="V49" s="2"/>
      <c r="W49" s="2"/>
      <c r="X49" s="2"/>
      <c r="Y49" s="2"/>
      <c r="Z49" s="2"/>
    </row>
    <row r="50" customFormat="false" ht="42" hidden="false" customHeight="true" outlineLevel="0" collapsed="false">
      <c r="A50" s="12" t="s">
        <v>559</v>
      </c>
      <c r="B50" s="12" t="s">
        <v>560</v>
      </c>
      <c r="C50" s="22"/>
      <c r="D50" s="21"/>
      <c r="E50" s="23"/>
      <c r="F50" s="20"/>
      <c r="G50" s="20"/>
      <c r="H50" s="20"/>
      <c r="I50" s="20"/>
      <c r="J50" s="20"/>
      <c r="K50" s="17" t="str">
        <f aca="false">IF(C50="","",IFERROR(C50*INDEX(04_Precios!$D$5:$D$59,MATCH($A50,04_Precios!$A$5:$A$59,0)),""))</f>
        <v/>
      </c>
      <c r="L50" s="18" t="str">
        <f aca="false">IFERROR(I50/H50,"")</f>
        <v/>
      </c>
      <c r="M50" s="18" t="str">
        <f aca="false">IFERROR(J50/I50,"")</f>
        <v/>
      </c>
      <c r="N50" s="21"/>
      <c r="O50" s="21"/>
      <c r="P50" s="20"/>
      <c r="Q50" s="2"/>
      <c r="R50" s="2"/>
      <c r="S50" s="2"/>
      <c r="T50" s="2"/>
      <c r="U50" s="2"/>
      <c r="V50" s="2"/>
      <c r="W50" s="2"/>
      <c r="X50" s="2"/>
      <c r="Y50" s="2"/>
      <c r="Z50" s="2"/>
    </row>
    <row r="51" customFormat="false" ht="42" hidden="false" customHeight="true" outlineLevel="0" collapsed="false">
      <c r="A51" s="12" t="s">
        <v>570</v>
      </c>
      <c r="B51" s="12" t="s">
        <v>571</v>
      </c>
      <c r="C51" s="22"/>
      <c r="D51" s="21"/>
      <c r="E51" s="23"/>
      <c r="F51" s="20"/>
      <c r="G51" s="20"/>
      <c r="H51" s="20"/>
      <c r="I51" s="20"/>
      <c r="J51" s="20"/>
      <c r="K51" s="17" t="str">
        <f aca="false">IF(C51="","",IFERROR(C51*INDEX(04_Precios!$D$5:$D$59,MATCH($A51,04_Precios!$A$5:$A$59,0)),""))</f>
        <v/>
      </c>
      <c r="L51" s="18" t="str">
        <f aca="false">IFERROR(I51/H51,"")</f>
        <v/>
      </c>
      <c r="M51" s="18" t="str">
        <f aca="false">IFERROR(J51/I51,"")</f>
        <v/>
      </c>
      <c r="N51" s="21"/>
      <c r="O51" s="21"/>
      <c r="P51" s="20"/>
      <c r="Q51" s="2"/>
      <c r="R51" s="2"/>
      <c r="S51" s="2"/>
      <c r="T51" s="2"/>
      <c r="U51" s="2"/>
      <c r="V51" s="2"/>
      <c r="W51" s="2"/>
      <c r="X51" s="2"/>
      <c r="Y51" s="2"/>
      <c r="Z51" s="2"/>
    </row>
    <row r="52" customFormat="false" ht="42" hidden="false" customHeight="true" outlineLevel="0" collapsed="false">
      <c r="A52" s="12" t="s">
        <v>581</v>
      </c>
      <c r="B52" s="12" t="s">
        <v>582</v>
      </c>
      <c r="C52" s="22"/>
      <c r="D52" s="21"/>
      <c r="E52" s="23"/>
      <c r="F52" s="20"/>
      <c r="G52" s="20"/>
      <c r="H52" s="20"/>
      <c r="I52" s="20"/>
      <c r="J52" s="20"/>
      <c r="K52" s="17" t="str">
        <f aca="false">IF(C52="","",IFERROR(C52*INDEX(04_Precios!$D$5:$D$59,MATCH($A52,04_Precios!$A$5:$A$59,0)),""))</f>
        <v/>
      </c>
      <c r="L52" s="18" t="str">
        <f aca="false">IFERROR(I52/H52,"")</f>
        <v/>
      </c>
      <c r="M52" s="18" t="str">
        <f aca="false">IFERROR(J52/I52,"")</f>
        <v/>
      </c>
      <c r="N52" s="21"/>
      <c r="O52" s="21"/>
      <c r="P52" s="20"/>
      <c r="Q52" s="2"/>
      <c r="R52" s="2"/>
      <c r="S52" s="2"/>
      <c r="T52" s="2"/>
      <c r="U52" s="2"/>
      <c r="V52" s="2"/>
      <c r="W52" s="2"/>
      <c r="X52" s="2"/>
      <c r="Y52" s="2"/>
      <c r="Z52" s="2"/>
    </row>
    <row r="53" customFormat="false" ht="42" hidden="false" customHeight="true" outlineLevel="0" collapsed="false">
      <c r="A53" s="12" t="s">
        <v>590</v>
      </c>
      <c r="B53" s="12" t="s">
        <v>591</v>
      </c>
      <c r="C53" s="22"/>
      <c r="D53" s="21"/>
      <c r="E53" s="23"/>
      <c r="F53" s="20"/>
      <c r="G53" s="20"/>
      <c r="H53" s="20"/>
      <c r="I53" s="20"/>
      <c r="J53" s="20"/>
      <c r="K53" s="17" t="str">
        <f aca="false">IF(C53="","",IFERROR(C53*INDEX(04_Precios!$D$5:$D$59,MATCH($A53,04_Precios!$A$5:$A$59,0)),""))</f>
        <v/>
      </c>
      <c r="L53" s="18" t="str">
        <f aca="false">IFERROR(I53/H53,"")</f>
        <v/>
      </c>
      <c r="M53" s="18" t="str">
        <f aca="false">IFERROR(J53/I53,"")</f>
        <v/>
      </c>
      <c r="N53" s="21"/>
      <c r="O53" s="21"/>
      <c r="P53" s="20"/>
      <c r="Q53" s="2"/>
      <c r="R53" s="2"/>
      <c r="S53" s="2"/>
      <c r="T53" s="2"/>
      <c r="U53" s="2"/>
      <c r="V53" s="2"/>
      <c r="W53" s="2"/>
      <c r="X53" s="2"/>
      <c r="Y53" s="2"/>
      <c r="Z53" s="2"/>
    </row>
    <row r="54" customFormat="false" ht="42" hidden="false" customHeight="true" outlineLevel="0" collapsed="false">
      <c r="A54" s="12" t="s">
        <v>601</v>
      </c>
      <c r="B54" s="12" t="s">
        <v>602</v>
      </c>
      <c r="C54" s="22"/>
      <c r="D54" s="21"/>
      <c r="E54" s="23"/>
      <c r="F54" s="20"/>
      <c r="G54" s="20"/>
      <c r="H54" s="20"/>
      <c r="I54" s="20"/>
      <c r="J54" s="20"/>
      <c r="K54" s="17" t="str">
        <f aca="false">IF(C54="","",IFERROR(C54*INDEX(04_Precios!$D$5:$D$59,MATCH($A54,04_Precios!$A$5:$A$59,0)),""))</f>
        <v/>
      </c>
      <c r="L54" s="18" t="str">
        <f aca="false">IFERROR(I54/H54,"")</f>
        <v/>
      </c>
      <c r="M54" s="18" t="str">
        <f aca="false">IFERROR(J54/I54,"")</f>
        <v/>
      </c>
      <c r="N54" s="21"/>
      <c r="O54" s="21"/>
      <c r="P54" s="20"/>
      <c r="Q54" s="2"/>
      <c r="R54" s="2"/>
      <c r="S54" s="2"/>
      <c r="T54" s="2"/>
      <c r="U54" s="2"/>
      <c r="V54" s="2"/>
      <c r="W54" s="2"/>
      <c r="X54" s="2"/>
      <c r="Y54" s="2"/>
      <c r="Z54" s="2"/>
    </row>
    <row r="55" customFormat="false" ht="42" hidden="false" customHeight="true" outlineLevel="0" collapsed="false">
      <c r="A55" s="12" t="s">
        <v>612</v>
      </c>
      <c r="B55" s="12" t="s">
        <v>613</v>
      </c>
      <c r="C55" s="22"/>
      <c r="D55" s="21"/>
      <c r="E55" s="23"/>
      <c r="F55" s="20"/>
      <c r="G55" s="20"/>
      <c r="H55" s="20"/>
      <c r="I55" s="20"/>
      <c r="J55" s="20"/>
      <c r="K55" s="17" t="str">
        <f aca="false">IF(C55="","",IFERROR(C55*INDEX(04_Precios!$D$5:$D$59,MATCH($A55,04_Precios!$A$5:$A$59,0)),""))</f>
        <v/>
      </c>
      <c r="L55" s="18" t="str">
        <f aca="false">IFERROR(I55/H55,"")</f>
        <v/>
      </c>
      <c r="M55" s="18" t="str">
        <f aca="false">IFERROR(J55/I55,"")</f>
        <v/>
      </c>
      <c r="N55" s="21"/>
      <c r="O55" s="21"/>
      <c r="P55" s="20"/>
      <c r="Q55" s="2"/>
      <c r="R55" s="2"/>
      <c r="S55" s="2"/>
      <c r="T55" s="2"/>
      <c r="U55" s="2"/>
      <c r="V55" s="2"/>
      <c r="W55" s="2"/>
      <c r="X55" s="2"/>
      <c r="Y55" s="2"/>
      <c r="Z55" s="2"/>
    </row>
    <row r="56" customFormat="false" ht="42" hidden="false" customHeight="true" outlineLevel="0" collapsed="false">
      <c r="A56" s="12" t="s">
        <v>623</v>
      </c>
      <c r="B56" s="12" t="s">
        <v>624</v>
      </c>
      <c r="C56" s="22"/>
      <c r="D56" s="21"/>
      <c r="E56" s="23"/>
      <c r="F56" s="20"/>
      <c r="G56" s="20"/>
      <c r="H56" s="20"/>
      <c r="I56" s="20"/>
      <c r="J56" s="20"/>
      <c r="K56" s="17" t="str">
        <f aca="false">IF(C56="","",IFERROR(C56*INDEX(04_Precios!$D$5:$D$59,MATCH($A56,04_Precios!$A$5:$A$59,0)),""))</f>
        <v/>
      </c>
      <c r="L56" s="18" t="str">
        <f aca="false">IFERROR(I56/H56,"")</f>
        <v/>
      </c>
      <c r="M56" s="18" t="str">
        <f aca="false">IFERROR(J56/I56,"")</f>
        <v/>
      </c>
      <c r="N56" s="21"/>
      <c r="O56" s="21"/>
      <c r="P56" s="20"/>
      <c r="Q56" s="2"/>
      <c r="R56" s="2"/>
      <c r="S56" s="2"/>
      <c r="T56" s="2"/>
      <c r="U56" s="2"/>
      <c r="V56" s="2"/>
      <c r="W56" s="2"/>
      <c r="X56" s="2"/>
      <c r="Y56" s="2"/>
      <c r="Z56" s="2"/>
    </row>
    <row r="57" customFormat="false" ht="42" hidden="false" customHeight="true" outlineLevel="0" collapsed="false">
      <c r="A57" s="12" t="s">
        <v>634</v>
      </c>
      <c r="B57" s="12" t="s">
        <v>635</v>
      </c>
      <c r="C57" s="22"/>
      <c r="D57" s="21"/>
      <c r="E57" s="23"/>
      <c r="F57" s="20"/>
      <c r="G57" s="20"/>
      <c r="H57" s="20"/>
      <c r="I57" s="20"/>
      <c r="J57" s="20"/>
      <c r="K57" s="17" t="str">
        <f aca="false">IF(C57="","",IFERROR(C57*INDEX(04_Precios!$D$5:$D$59,MATCH($A57,04_Precios!$A$5:$A$59,0)),""))</f>
        <v/>
      </c>
      <c r="L57" s="18" t="str">
        <f aca="false">IFERROR(I57/H57,"")</f>
        <v/>
      </c>
      <c r="M57" s="18" t="str">
        <f aca="false">IFERROR(J57/I57,"")</f>
        <v/>
      </c>
      <c r="N57" s="21"/>
      <c r="O57" s="21"/>
      <c r="P57" s="20"/>
      <c r="Q57" s="2"/>
      <c r="R57" s="2"/>
      <c r="S57" s="2"/>
      <c r="T57" s="2"/>
      <c r="U57" s="2"/>
      <c r="V57" s="2"/>
      <c r="W57" s="2"/>
      <c r="X57" s="2"/>
      <c r="Y57" s="2"/>
      <c r="Z57" s="2"/>
    </row>
    <row r="58" customFormat="false" ht="42" hidden="false" customHeight="true" outlineLevel="0" collapsed="false">
      <c r="A58" s="12" t="s">
        <v>645</v>
      </c>
      <c r="B58" s="12" t="s">
        <v>646</v>
      </c>
      <c r="C58" s="22"/>
      <c r="D58" s="21"/>
      <c r="E58" s="23"/>
      <c r="F58" s="20"/>
      <c r="G58" s="20"/>
      <c r="H58" s="20"/>
      <c r="I58" s="20"/>
      <c r="J58" s="20"/>
      <c r="K58" s="17" t="str">
        <f aca="false">IF(C58="","",IFERROR(C58*INDEX(04_Precios!$D$5:$D$59,MATCH($A58,04_Precios!$A$5:$A$59,0)),""))</f>
        <v/>
      </c>
      <c r="L58" s="18" t="str">
        <f aca="false">IFERROR(I58/H58,"")</f>
        <v/>
      </c>
      <c r="M58" s="18" t="str">
        <f aca="false">IFERROR(J58/I58,"")</f>
        <v/>
      </c>
      <c r="N58" s="21"/>
      <c r="O58" s="21"/>
      <c r="P58" s="20"/>
      <c r="Q58" s="2"/>
      <c r="R58" s="2"/>
      <c r="S58" s="2"/>
      <c r="T58" s="2"/>
      <c r="U58" s="2"/>
      <c r="V58" s="2"/>
      <c r="W58" s="2"/>
      <c r="X58" s="2"/>
      <c r="Y58" s="2"/>
      <c r="Z58" s="2"/>
    </row>
    <row r="59" customFormat="false" ht="42" hidden="false" customHeight="true" outlineLevel="0" collapsed="false">
      <c r="A59" s="12" t="s">
        <v>656</v>
      </c>
      <c r="B59" s="12" t="s">
        <v>657</v>
      </c>
      <c r="C59" s="22"/>
      <c r="D59" s="21"/>
      <c r="E59" s="23"/>
      <c r="F59" s="20"/>
      <c r="G59" s="20"/>
      <c r="H59" s="20"/>
      <c r="I59" s="20"/>
      <c r="J59" s="20"/>
      <c r="K59" s="17" t="str">
        <f aca="false">IF(C59="","",IFERROR(C59*INDEX(04_Precios!$D$5:$D$59,MATCH($A59,04_Precios!$A$5:$A$59,0)),""))</f>
        <v/>
      </c>
      <c r="L59" s="18" t="str">
        <f aca="false">IFERROR(I59/H59,"")</f>
        <v/>
      </c>
      <c r="M59" s="18" t="str">
        <f aca="false">IFERROR(J59/I59,"")</f>
        <v/>
      </c>
      <c r="N59" s="21"/>
      <c r="O59" s="21"/>
      <c r="P59" s="20"/>
      <c r="Q59" s="2"/>
      <c r="R59" s="2"/>
      <c r="S59" s="2"/>
      <c r="T59" s="2"/>
      <c r="U59" s="2"/>
      <c r="V59" s="2"/>
      <c r="W59" s="2"/>
      <c r="X59" s="2"/>
      <c r="Y59" s="2"/>
      <c r="Z59" s="2"/>
    </row>
    <row r="60" customFormat="false" ht="14.25" hidden="false" customHeight="fals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4.25" hidden="false" customHeight="fals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4.25" hidden="false" customHeight="fals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4.25" hidden="false" customHeight="fals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4.25" hidden="false" customHeight="fals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4.25" hidden="false" customHeight="fals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4.25" hidden="false" customHeight="fals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4.25" hidden="false" customHeight="fals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4.25" hidden="false" customHeight="fals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4.25" hidden="false" customHeight="fals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4.25" hidden="false" customHeight="fals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4.25" hidden="false" customHeight="fals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4.25" hidden="false" customHeight="fals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4.25" hidden="false" customHeight="fals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4.25" hidden="false" customHeight="fals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4.25" hidden="false" customHeight="fals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4.25" hidden="false" customHeight="fals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4.25" hidden="false" customHeight="fals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4.25" hidden="false" customHeight="fals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4.25" hidden="false" customHeight="fals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4.25" hidden="false" customHeight="fals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4.25" hidden="false" customHeight="fals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4.25" hidden="false" customHeight="fals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4.25" hidden="false" customHeight="fals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4.25" hidden="false" customHeight="fals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4.25" hidden="false" customHeight="fals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4.25" hidden="false" customHeight="fals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4.25" hidden="false" customHeight="fals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4.25" hidden="false" customHeight="fals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4.25" hidden="false" customHeight="fals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4.25" hidden="false" customHeight="fals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4.25" hidden="false" customHeight="fals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4.25" hidden="false" customHeight="fals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4.25" hidden="false" customHeight="fals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4.25" hidden="false" customHeight="fals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4.25" hidden="false" customHeight="fals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4.25" hidden="false" customHeight="fals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4.25" hidden="false" customHeight="fals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4.25" hidden="false" customHeight="fals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4.25" hidden="false" customHeight="fals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4.25" hidden="false" customHeight="fals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4.25" hidden="false" customHeight="fals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4.25" hidden="false" customHeight="fals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4.25" hidden="false" customHeight="fals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4.25" hidden="false" customHeight="fals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4.25" hidden="false" customHeight="fals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4.25" hidden="false" customHeight="fals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4.25" hidden="false" customHeight="fals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4.25" hidden="false" customHeight="fals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4.25" hidden="false" customHeight="fals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4.25" hidden="false" customHeight="fals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4.25" hidden="false" customHeight="fals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4.25" hidden="false" customHeight="fals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4.25" hidden="false" customHeight="fals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4.25" hidden="false" customHeight="fals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4.25" hidden="false" customHeight="fals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4.25" hidden="false" customHeight="fals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4.25" hidden="false" customHeight="fals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4.25" hidden="false" customHeight="fals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4.25" hidden="false" customHeight="fals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4.25" hidden="false" customHeight="fals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4.25" hidden="false" customHeight="fals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4.25" hidden="false" customHeight="fals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4.25" hidden="false" customHeight="fals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4.25" hidden="false" customHeight="fals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4.25" hidden="false" customHeight="fals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4.25" hidden="false" customHeight="fals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4.25" hidden="false" customHeight="fals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4.25" hidden="false" customHeight="fals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4.25" hidden="false" customHeight="fals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4.25" hidden="false" customHeight="fals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4.25" hidden="false" customHeight="fals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4.25" hidden="false" customHeight="fals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4.25" hidden="false" customHeight="fals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4.25" hidden="false" customHeight="fals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4.25" hidden="false" customHeight="fals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4.25" hidden="false" customHeight="fals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4.25" hidden="false" customHeight="fals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4.25" hidden="false" customHeight="fals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4.25" hidden="false" customHeight="fals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4.25" hidden="false" customHeight="fals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4.25" hidden="false" customHeight="fals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4.25" hidden="false" customHeight="fals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4.25" hidden="false" customHeight="fals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4.25" hidden="false" customHeight="fals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4.25" hidden="false" customHeight="fals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4.25" hidden="false" customHeight="fals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4.25" hidden="false" customHeight="fals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4.25" hidden="false" customHeight="fals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4.25" hidden="false" customHeight="fals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4.25" hidden="false" customHeight="fals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4.25" hidden="false" customHeight="fals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4.25" hidden="false" customHeight="fals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4.25" hidden="false" customHeight="fals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4.25" hidden="false" customHeight="fals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4.25" hidden="false" customHeight="fals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4.25" hidden="false" customHeight="fals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4.25" hidden="false" customHeight="fals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4.25" hidden="false" customHeight="fals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4.25" hidden="false" customHeight="fals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4.25" hidden="false" customHeight="fals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4.25" hidden="false" customHeight="fals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4.25" hidden="false" customHeight="fals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4.25" hidden="false" customHeight="fals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4.25" hidden="false" customHeight="fals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4.25" hidden="false" customHeight="fals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4.25" hidden="false" customHeight="fals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4.25" hidden="false" customHeight="fals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4.25" hidden="false" customHeight="fals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4.25" hidden="false" customHeight="fals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4.25" hidden="false" customHeight="fals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4.25" hidden="false" customHeight="fals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4.25" hidden="false" customHeight="fals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4.25" hidden="false" customHeight="fals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4.25" hidden="false" customHeight="fals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4.25" hidden="false" customHeight="fals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4.25" hidden="false" customHeight="fals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4.25" hidden="false" customHeight="fals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4.25" hidden="false" customHeight="fals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4.25" hidden="false" customHeight="fals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4.25" hidden="false" customHeight="fals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4.25" hidden="false" customHeight="fals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4.25" hidden="false" customHeight="fals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4.25" hidden="false" customHeight="fals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4.25" hidden="false" customHeight="fals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4.25" hidden="false" customHeight="fals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4.25" hidden="false" customHeight="fals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4.25" hidden="false" customHeight="fals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4.25" hidden="false" customHeight="fals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4.25" hidden="false" customHeight="fals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4.25" hidden="false" customHeight="fals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4.25" hidden="false" customHeight="fals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4.25" hidden="false" customHeight="fals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4.25" hidden="false" customHeight="fals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4.25" hidden="false" customHeight="fals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4.25" hidden="false" customHeight="fals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4.25" hidden="false" customHeight="fals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4.25" hidden="false" customHeight="fals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4.25" hidden="false" customHeight="fals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4.25" hidden="false" customHeight="fals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4.25" hidden="false" customHeight="fals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sheetData>
  <autoFilter ref="A4:P59"/>
  <mergeCells count="2">
    <mergeCell ref="A1:P1"/>
    <mergeCell ref="A2:P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Z2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12" activeCellId="0" sqref="B12"/>
    </sheetView>
  </sheetViews>
  <sheetFormatPr defaultColWidth="9.00390625" defaultRowHeight="14.25" zeroHeight="false" outlineLevelRow="0" outlineLevelCol="0"/>
  <cols>
    <col collapsed="false" customWidth="true" hidden="false" outlineLevel="0" max="1" min="1" style="0" width="33"/>
    <col collapsed="false" customWidth="true" hidden="false" outlineLevel="0" max="2" min="2" style="0" width="25"/>
    <col collapsed="false" customWidth="true" hidden="false" outlineLevel="0" max="3" min="3" style="0" width="58"/>
    <col collapsed="false" customWidth="true" hidden="false" outlineLevel="0" max="5" min="5" style="0" width="28"/>
    <col collapsed="false" customWidth="true" hidden="false" outlineLevel="0" max="6" min="6" style="0" width="48"/>
  </cols>
  <sheetData>
    <row r="1" customFormat="false" ht="31.5" hidden="false" customHeight="true" outlineLevel="0" collapsed="false">
      <c r="A1" s="1" t="s">
        <v>2137</v>
      </c>
      <c r="B1" s="1"/>
      <c r="C1" s="1"/>
      <c r="D1" s="1"/>
      <c r="E1" s="1"/>
      <c r="F1" s="1"/>
      <c r="G1" s="2"/>
      <c r="H1" s="2"/>
      <c r="I1" s="2"/>
      <c r="J1" s="2"/>
      <c r="K1" s="2"/>
      <c r="L1" s="2"/>
      <c r="M1" s="2"/>
      <c r="N1" s="2"/>
      <c r="O1" s="2"/>
      <c r="P1" s="2"/>
      <c r="Q1" s="2"/>
      <c r="R1" s="2"/>
      <c r="S1" s="2"/>
      <c r="T1" s="2"/>
      <c r="U1" s="2"/>
      <c r="V1" s="2"/>
      <c r="W1" s="2"/>
      <c r="X1" s="2"/>
      <c r="Y1" s="2"/>
      <c r="Z1" s="2"/>
    </row>
    <row r="2" customFormat="false" ht="42" hidden="false" customHeight="true" outlineLevel="0" collapsed="false">
      <c r="A2" s="3" t="s">
        <v>2138</v>
      </c>
      <c r="B2" s="3"/>
      <c r="C2" s="3"/>
      <c r="D2" s="3"/>
      <c r="E2" s="3"/>
      <c r="F2" s="3"/>
      <c r="G2" s="2"/>
      <c r="H2" s="2"/>
      <c r="I2" s="2"/>
      <c r="J2" s="2"/>
      <c r="K2" s="2"/>
      <c r="L2" s="2"/>
      <c r="M2" s="2"/>
      <c r="N2" s="2"/>
      <c r="O2" s="2"/>
      <c r="P2" s="2"/>
      <c r="Q2" s="2"/>
      <c r="R2" s="2"/>
      <c r="S2" s="2"/>
      <c r="T2" s="2"/>
      <c r="U2" s="2"/>
      <c r="V2" s="2"/>
      <c r="W2" s="2"/>
      <c r="X2" s="2"/>
      <c r="Y2" s="2"/>
      <c r="Z2" s="2"/>
    </row>
    <row r="3" customFormat="false" ht="14.25" hidden="false" customHeight="false" outlineLevel="0" collapsed="false">
      <c r="A3" s="2"/>
      <c r="B3" s="2"/>
      <c r="C3" s="2"/>
      <c r="D3" s="2"/>
      <c r="E3" s="2"/>
      <c r="F3" s="2"/>
      <c r="G3" s="2"/>
      <c r="H3" s="2"/>
      <c r="I3" s="2"/>
      <c r="J3" s="2"/>
      <c r="K3" s="2"/>
      <c r="L3" s="2"/>
      <c r="M3" s="2"/>
      <c r="N3" s="2"/>
      <c r="O3" s="2"/>
      <c r="P3" s="2"/>
      <c r="Q3" s="2"/>
      <c r="R3" s="2"/>
      <c r="S3" s="2"/>
      <c r="T3" s="2"/>
      <c r="U3" s="2"/>
      <c r="V3" s="2"/>
      <c r="W3" s="2"/>
      <c r="X3" s="2"/>
      <c r="Y3" s="2"/>
      <c r="Z3" s="2"/>
    </row>
    <row r="4" customFormat="false" ht="14.25" hidden="false" customHeight="false" outlineLevel="0" collapsed="false">
      <c r="A4" s="4" t="s">
        <v>2139</v>
      </c>
      <c r="B4" s="4" t="s">
        <v>2140</v>
      </c>
      <c r="C4" s="4" t="s">
        <v>2141</v>
      </c>
      <c r="D4" s="2"/>
      <c r="E4" s="4" t="s">
        <v>2142</v>
      </c>
      <c r="F4" s="4" t="s">
        <v>2143</v>
      </c>
      <c r="G4" s="2"/>
      <c r="H4" s="2"/>
      <c r="I4" s="2"/>
      <c r="J4" s="2"/>
      <c r="K4" s="2"/>
      <c r="L4" s="2"/>
      <c r="M4" s="2"/>
      <c r="N4" s="2"/>
      <c r="O4" s="2"/>
      <c r="P4" s="2"/>
      <c r="Q4" s="2"/>
      <c r="R4" s="2"/>
      <c r="S4" s="2"/>
      <c r="T4" s="2"/>
      <c r="U4" s="2"/>
      <c r="V4" s="2"/>
      <c r="W4" s="2"/>
      <c r="X4" s="2"/>
      <c r="Y4" s="2"/>
      <c r="Z4" s="2"/>
    </row>
    <row r="5" customFormat="false" ht="14.25" hidden="false" customHeight="false" outlineLevel="0" collapsed="false">
      <c r="A5" s="12" t="s">
        <v>2144</v>
      </c>
      <c r="B5" s="20" t="s">
        <v>833</v>
      </c>
      <c r="C5" s="12" t="s">
        <v>2145</v>
      </c>
      <c r="D5" s="2"/>
      <c r="E5" s="5" t="s">
        <v>2146</v>
      </c>
      <c r="F5" s="5" t="s">
        <v>2147</v>
      </c>
      <c r="G5" s="2"/>
      <c r="H5" s="2"/>
      <c r="I5" s="2"/>
      <c r="J5" s="2"/>
      <c r="K5" s="2"/>
      <c r="L5" s="2"/>
      <c r="M5" s="2"/>
      <c r="N5" s="2"/>
      <c r="O5" s="2"/>
      <c r="P5" s="2"/>
      <c r="Q5" s="2"/>
      <c r="R5" s="2"/>
      <c r="S5" s="2"/>
      <c r="T5" s="2"/>
      <c r="U5" s="2"/>
      <c r="V5" s="2"/>
      <c r="W5" s="2"/>
      <c r="X5" s="2"/>
      <c r="Y5" s="2"/>
      <c r="Z5" s="2"/>
    </row>
    <row r="6" customFormat="false" ht="23.85" hidden="false" customHeight="false" outlineLevel="0" collapsed="false">
      <c r="A6" s="12" t="s">
        <v>2148</v>
      </c>
      <c r="B6" s="22"/>
      <c r="C6" s="12" t="s">
        <v>2149</v>
      </c>
      <c r="D6" s="2"/>
      <c r="E6" s="5" t="s">
        <v>2150</v>
      </c>
      <c r="F6" s="5" t="s">
        <v>2151</v>
      </c>
      <c r="G6" s="2"/>
      <c r="H6" s="2"/>
      <c r="I6" s="2"/>
      <c r="J6" s="2"/>
      <c r="K6" s="2"/>
      <c r="L6" s="2"/>
      <c r="M6" s="2"/>
      <c r="N6" s="2"/>
      <c r="O6" s="2"/>
      <c r="P6" s="2"/>
      <c r="Q6" s="2"/>
      <c r="R6" s="2"/>
      <c r="S6" s="2"/>
      <c r="T6" s="2"/>
      <c r="U6" s="2"/>
      <c r="V6" s="2"/>
      <c r="W6" s="2"/>
      <c r="X6" s="2"/>
      <c r="Y6" s="2"/>
      <c r="Z6" s="2"/>
    </row>
    <row r="7" customFormat="false" ht="14.25" hidden="false" customHeight="false" outlineLevel="0" collapsed="false">
      <c r="A7" s="12" t="s">
        <v>2152</v>
      </c>
      <c r="B7" s="20" t="s">
        <v>686</v>
      </c>
      <c r="C7" s="12" t="s">
        <v>2153</v>
      </c>
      <c r="D7" s="2"/>
      <c r="E7" s="5" t="s">
        <v>2154</v>
      </c>
      <c r="F7" s="5" t="s">
        <v>2155</v>
      </c>
      <c r="G7" s="2"/>
      <c r="H7" s="2"/>
      <c r="I7" s="2"/>
      <c r="J7" s="2"/>
      <c r="K7" s="2"/>
      <c r="L7" s="2"/>
      <c r="M7" s="2"/>
      <c r="N7" s="2"/>
      <c r="O7" s="2"/>
      <c r="P7" s="2"/>
      <c r="Q7" s="2"/>
      <c r="R7" s="2"/>
      <c r="S7" s="2"/>
      <c r="T7" s="2"/>
      <c r="U7" s="2"/>
      <c r="V7" s="2"/>
      <c r="W7" s="2"/>
      <c r="X7" s="2"/>
      <c r="Y7" s="2"/>
      <c r="Z7" s="2"/>
    </row>
    <row r="8" customFormat="false" ht="14.25" hidden="false" customHeight="false" outlineLevel="0" collapsed="false">
      <c r="A8" s="12" t="s">
        <v>2156</v>
      </c>
      <c r="B8" s="21" t="n">
        <f aca="true">TODAY()</f>
        <v>46219</v>
      </c>
      <c r="C8" s="12" t="s">
        <v>2157</v>
      </c>
      <c r="D8" s="2"/>
      <c r="E8" s="5" t="s">
        <v>822</v>
      </c>
      <c r="F8" s="5" t="s">
        <v>2158</v>
      </c>
      <c r="G8" s="2"/>
      <c r="H8" s="2"/>
      <c r="I8" s="2"/>
      <c r="J8" s="2"/>
      <c r="K8" s="2"/>
      <c r="L8" s="2"/>
      <c r="M8" s="2"/>
      <c r="N8" s="2"/>
      <c r="O8" s="2"/>
      <c r="P8" s="2"/>
      <c r="Q8" s="2"/>
      <c r="R8" s="2"/>
      <c r="S8" s="2"/>
      <c r="T8" s="2"/>
      <c r="U8" s="2"/>
      <c r="V8" s="2"/>
      <c r="W8" s="2"/>
      <c r="X8" s="2"/>
      <c r="Y8" s="2"/>
      <c r="Z8" s="2"/>
    </row>
    <row r="9" customFormat="false" ht="14.25" hidden="false" customHeight="false" outlineLevel="0" collapsed="false">
      <c r="A9" s="12" t="s">
        <v>2159</v>
      </c>
      <c r="B9" s="20" t="s">
        <v>2160</v>
      </c>
      <c r="C9" s="12" t="s">
        <v>2161</v>
      </c>
      <c r="D9" s="2"/>
      <c r="E9" s="5" t="s">
        <v>1051</v>
      </c>
      <c r="F9" s="5" t="s">
        <v>2162</v>
      </c>
      <c r="G9" s="2"/>
      <c r="H9" s="2"/>
      <c r="I9" s="2"/>
      <c r="J9" s="2"/>
      <c r="K9" s="2"/>
      <c r="L9" s="2"/>
      <c r="M9" s="2"/>
      <c r="N9" s="2"/>
      <c r="O9" s="2"/>
      <c r="P9" s="2"/>
      <c r="Q9" s="2"/>
      <c r="R9" s="2"/>
      <c r="S9" s="2"/>
      <c r="T9" s="2"/>
      <c r="U9" s="2"/>
      <c r="V9" s="2"/>
      <c r="W9" s="2"/>
      <c r="X9" s="2"/>
      <c r="Y9" s="2"/>
      <c r="Z9" s="2"/>
    </row>
    <row r="10" customFormat="false" ht="23.85" hidden="false" customHeight="false" outlineLevel="0" collapsed="false">
      <c r="A10" s="12" t="s">
        <v>2163</v>
      </c>
      <c r="B10" s="20" t="n">
        <v>180</v>
      </c>
      <c r="C10" s="12" t="s">
        <v>2164</v>
      </c>
      <c r="D10" s="2"/>
      <c r="E10" s="5" t="s">
        <v>837</v>
      </c>
      <c r="F10" s="5" t="s">
        <v>2165</v>
      </c>
      <c r="G10" s="2"/>
      <c r="H10" s="2"/>
      <c r="I10" s="2"/>
      <c r="J10" s="2"/>
      <c r="K10" s="2"/>
      <c r="L10" s="2"/>
      <c r="M10" s="2"/>
      <c r="N10" s="2"/>
      <c r="O10" s="2"/>
      <c r="P10" s="2"/>
      <c r="Q10" s="2"/>
      <c r="R10" s="2"/>
      <c r="S10" s="2"/>
      <c r="T10" s="2"/>
      <c r="U10" s="2"/>
      <c r="V10" s="2"/>
      <c r="W10" s="2"/>
      <c r="X10" s="2"/>
      <c r="Y10" s="2"/>
      <c r="Z10" s="2"/>
    </row>
    <row r="11" customFormat="false" ht="14.25" hidden="false" customHeight="false" outlineLevel="0" collapsed="false">
      <c r="A11" s="12" t="s">
        <v>2166</v>
      </c>
      <c r="B11" s="20"/>
      <c r="C11" s="12" t="s">
        <v>2167</v>
      </c>
      <c r="D11" s="2"/>
      <c r="E11" s="5" t="s">
        <v>2168</v>
      </c>
      <c r="F11" s="5" t="s">
        <v>2169</v>
      </c>
      <c r="G11" s="2"/>
      <c r="H11" s="2"/>
      <c r="I11" s="2"/>
      <c r="J11" s="2"/>
      <c r="K11" s="2"/>
      <c r="L11" s="2"/>
      <c r="M11" s="2"/>
      <c r="N11" s="2"/>
      <c r="O11" s="2"/>
      <c r="P11" s="2"/>
      <c r="Q11" s="2"/>
      <c r="R11" s="2"/>
      <c r="S11" s="2"/>
      <c r="T11" s="2"/>
      <c r="U11" s="2"/>
      <c r="V11" s="2"/>
      <c r="W11" s="2"/>
      <c r="X11" s="2"/>
      <c r="Y11" s="2"/>
      <c r="Z11" s="2"/>
    </row>
    <row r="12" customFormat="false" ht="14.25" hidden="false" customHeight="false" outlineLevel="0" collapsed="false">
      <c r="A12" s="12" t="s">
        <v>2170</v>
      </c>
      <c r="B12" s="20"/>
      <c r="C12" s="12" t="s">
        <v>2171</v>
      </c>
      <c r="D12" s="2"/>
      <c r="E12" s="2"/>
      <c r="F12" s="2"/>
      <c r="G12" s="2"/>
      <c r="H12" s="2"/>
      <c r="I12" s="2"/>
      <c r="J12" s="2"/>
      <c r="K12" s="2"/>
      <c r="L12" s="2"/>
      <c r="M12" s="2"/>
      <c r="N12" s="2"/>
      <c r="O12" s="2"/>
      <c r="P12" s="2"/>
      <c r="Q12" s="2"/>
      <c r="R12" s="2"/>
      <c r="S12" s="2"/>
      <c r="T12" s="2"/>
      <c r="U12" s="2"/>
      <c r="V12" s="2"/>
      <c r="W12" s="2"/>
      <c r="X12" s="2"/>
      <c r="Y12" s="2"/>
      <c r="Z12" s="2"/>
    </row>
    <row r="13" customFormat="false" ht="14.25" hidden="false" customHeight="false" outlineLevel="0" collapsed="false">
      <c r="A13" s="12" t="s">
        <v>2172</v>
      </c>
      <c r="B13" s="20" t="s">
        <v>2173</v>
      </c>
      <c r="C13" s="12" t="s">
        <v>2174</v>
      </c>
      <c r="D13" s="2"/>
      <c r="E13" s="2"/>
      <c r="F13" s="2"/>
      <c r="G13" s="2"/>
      <c r="H13" s="2"/>
      <c r="I13" s="2"/>
      <c r="J13" s="2"/>
      <c r="K13" s="2"/>
      <c r="L13" s="2"/>
      <c r="M13" s="2"/>
      <c r="N13" s="2"/>
      <c r="O13" s="2"/>
      <c r="P13" s="2"/>
      <c r="Q13" s="2"/>
      <c r="R13" s="2"/>
      <c r="S13" s="2"/>
      <c r="T13" s="2"/>
      <c r="U13" s="2"/>
      <c r="V13" s="2"/>
      <c r="W13" s="2"/>
      <c r="X13" s="2"/>
      <c r="Y13" s="2"/>
      <c r="Z13" s="2"/>
    </row>
    <row r="14" customFormat="false" ht="23.85" hidden="false" customHeight="false" outlineLevel="0" collapsed="false">
      <c r="A14" s="12" t="s">
        <v>2175</v>
      </c>
      <c r="B14" s="20" t="s">
        <v>2176</v>
      </c>
      <c r="C14" s="12" t="s">
        <v>2177</v>
      </c>
      <c r="D14" s="2"/>
      <c r="E14" s="2"/>
      <c r="F14" s="2"/>
      <c r="G14" s="2"/>
      <c r="H14" s="2"/>
      <c r="I14" s="2"/>
      <c r="J14" s="2"/>
      <c r="K14" s="2"/>
      <c r="L14" s="2"/>
      <c r="M14" s="2"/>
      <c r="N14" s="2"/>
      <c r="O14" s="2"/>
      <c r="P14" s="2"/>
      <c r="Q14" s="2"/>
      <c r="R14" s="2"/>
      <c r="S14" s="2"/>
      <c r="T14" s="2"/>
      <c r="U14" s="2"/>
      <c r="V14" s="2"/>
      <c r="W14" s="2"/>
      <c r="X14" s="2"/>
      <c r="Y14" s="2"/>
      <c r="Z14" s="2"/>
    </row>
    <row r="15" customFormat="false" ht="14.25" hidden="false" customHeight="false" outlineLevel="0" collapsed="false">
      <c r="A15" s="2"/>
      <c r="B15" s="2"/>
      <c r="C15" s="2"/>
      <c r="D15" s="2"/>
      <c r="E15" s="2"/>
      <c r="F15" s="2"/>
      <c r="G15" s="2"/>
      <c r="H15" s="2"/>
      <c r="I15" s="2"/>
      <c r="J15" s="2"/>
      <c r="K15" s="2"/>
      <c r="L15" s="2"/>
      <c r="M15" s="2"/>
      <c r="N15" s="2"/>
      <c r="O15" s="2"/>
      <c r="P15" s="2"/>
      <c r="Q15" s="2"/>
      <c r="R15" s="2"/>
      <c r="S15" s="2"/>
      <c r="T15" s="2"/>
      <c r="U15" s="2"/>
      <c r="V15" s="2"/>
      <c r="W15" s="2"/>
      <c r="X15" s="2"/>
      <c r="Y15" s="2"/>
      <c r="Z15" s="2"/>
    </row>
    <row r="16" customFormat="false" ht="14.25" hidden="false" customHeight="false" outlineLevel="0" collapsed="false">
      <c r="A16" s="2"/>
      <c r="B16" s="2"/>
      <c r="C16" s="2"/>
      <c r="D16" s="2"/>
      <c r="E16" s="2"/>
      <c r="F16" s="2"/>
      <c r="G16" s="2"/>
      <c r="H16" s="2"/>
      <c r="I16" s="2"/>
      <c r="J16" s="2"/>
      <c r="K16" s="2"/>
      <c r="L16" s="2"/>
      <c r="M16" s="2"/>
      <c r="N16" s="2"/>
      <c r="O16" s="2"/>
      <c r="P16" s="2"/>
      <c r="Q16" s="2"/>
      <c r="R16" s="2"/>
      <c r="S16" s="2"/>
      <c r="T16" s="2"/>
      <c r="U16" s="2"/>
      <c r="V16" s="2"/>
      <c r="W16" s="2"/>
      <c r="X16" s="2"/>
      <c r="Y16" s="2"/>
      <c r="Z16" s="2"/>
    </row>
    <row r="17" customFormat="false" ht="14.25" hidden="false" customHeight="false" outlineLevel="0" collapsed="false">
      <c r="A17" s="2"/>
      <c r="B17" s="2"/>
      <c r="C17" s="2"/>
      <c r="D17" s="2"/>
      <c r="E17" s="2"/>
      <c r="F17" s="2"/>
      <c r="G17" s="2"/>
      <c r="H17" s="2"/>
      <c r="I17" s="2"/>
      <c r="J17" s="2"/>
      <c r="K17" s="2"/>
      <c r="L17" s="2"/>
      <c r="M17" s="2"/>
      <c r="N17" s="2"/>
      <c r="O17" s="2"/>
      <c r="P17" s="2"/>
      <c r="Q17" s="2"/>
      <c r="R17" s="2"/>
      <c r="S17" s="2"/>
      <c r="T17" s="2"/>
      <c r="U17" s="2"/>
      <c r="V17" s="2"/>
      <c r="W17" s="2"/>
      <c r="X17" s="2"/>
      <c r="Y17" s="2"/>
      <c r="Z17" s="2"/>
    </row>
    <row r="18" customFormat="false" ht="14.25" hidden="false" customHeight="false" outlineLevel="0" collapsed="false">
      <c r="A18" s="2"/>
      <c r="B18" s="2"/>
      <c r="C18" s="2"/>
      <c r="D18" s="2"/>
      <c r="E18" s="2"/>
      <c r="F18" s="2"/>
      <c r="G18" s="2"/>
      <c r="H18" s="2"/>
      <c r="I18" s="2"/>
      <c r="J18" s="2"/>
      <c r="K18" s="2"/>
      <c r="L18" s="2"/>
      <c r="M18" s="2"/>
      <c r="N18" s="2"/>
      <c r="O18" s="2"/>
      <c r="P18" s="2"/>
      <c r="Q18" s="2"/>
      <c r="R18" s="2"/>
      <c r="S18" s="2"/>
      <c r="T18" s="2"/>
      <c r="U18" s="2"/>
      <c r="V18" s="2"/>
      <c r="W18" s="2"/>
      <c r="X18" s="2"/>
      <c r="Y18" s="2"/>
      <c r="Z18" s="2"/>
    </row>
    <row r="19" customFormat="false" ht="14.25" hidden="false" customHeight="false" outlineLevel="0" collapsed="false">
      <c r="A19" s="2"/>
      <c r="B19" s="2"/>
      <c r="C19" s="2"/>
      <c r="D19" s="2"/>
      <c r="E19" s="2"/>
      <c r="F19" s="2"/>
      <c r="G19" s="2"/>
      <c r="H19" s="2"/>
      <c r="I19" s="2"/>
      <c r="J19" s="2"/>
      <c r="K19" s="2"/>
      <c r="L19" s="2"/>
      <c r="M19" s="2"/>
      <c r="N19" s="2"/>
      <c r="O19" s="2"/>
      <c r="P19" s="2"/>
      <c r="Q19" s="2"/>
      <c r="R19" s="2"/>
      <c r="S19" s="2"/>
      <c r="T19" s="2"/>
      <c r="U19" s="2"/>
      <c r="V19" s="2"/>
      <c r="W19" s="2"/>
      <c r="X19" s="2"/>
      <c r="Y19" s="2"/>
      <c r="Z19" s="2"/>
    </row>
    <row r="20" customFormat="false" ht="14.25" hidden="false" customHeight="false" outlineLevel="0" collapsed="false">
      <c r="A20" s="2"/>
      <c r="B20" s="2"/>
      <c r="C20" s="2"/>
      <c r="D20" s="2"/>
      <c r="E20" s="2"/>
      <c r="F20" s="2"/>
      <c r="G20" s="2"/>
      <c r="H20" s="2"/>
      <c r="I20" s="2"/>
      <c r="J20" s="2"/>
      <c r="K20" s="2"/>
      <c r="L20" s="2"/>
      <c r="M20" s="2"/>
      <c r="N20" s="2"/>
      <c r="O20" s="2"/>
      <c r="P20" s="2"/>
      <c r="Q20" s="2"/>
      <c r="R20" s="2"/>
      <c r="S20" s="2"/>
      <c r="T20" s="2"/>
      <c r="U20" s="2"/>
      <c r="V20" s="2"/>
      <c r="W20" s="2"/>
      <c r="X20" s="2"/>
      <c r="Y20" s="2"/>
      <c r="Z20" s="2"/>
    </row>
    <row r="21" customFormat="false" ht="14.25" hidden="false" customHeight="false" outlineLevel="0" collapsed="false">
      <c r="A21" s="2"/>
      <c r="B21" s="2"/>
      <c r="C21" s="2"/>
      <c r="D21" s="2"/>
      <c r="E21" s="2"/>
      <c r="F21" s="2"/>
      <c r="G21" s="2"/>
      <c r="H21" s="2"/>
      <c r="I21" s="2"/>
      <c r="J21" s="2"/>
      <c r="K21" s="2"/>
      <c r="L21" s="2"/>
      <c r="M21" s="2"/>
      <c r="N21" s="2"/>
      <c r="O21" s="2"/>
      <c r="P21" s="2"/>
      <c r="Q21" s="2"/>
      <c r="R21" s="2"/>
      <c r="S21" s="2"/>
      <c r="T21" s="2"/>
      <c r="U21" s="2"/>
      <c r="V21" s="2"/>
      <c r="W21" s="2"/>
      <c r="X21" s="2"/>
      <c r="Y21" s="2"/>
      <c r="Z21" s="2"/>
    </row>
    <row r="22" customFormat="false" ht="14.25" hidden="false" customHeight="false" outlineLevel="0" collapsed="false">
      <c r="A22" s="2"/>
      <c r="B22" s="2"/>
      <c r="C22" s="2"/>
      <c r="D22" s="2"/>
      <c r="E22" s="2"/>
      <c r="F22" s="2"/>
      <c r="G22" s="2"/>
      <c r="H22" s="2"/>
      <c r="I22" s="2"/>
      <c r="J22" s="2"/>
      <c r="K22" s="2"/>
      <c r="L22" s="2"/>
      <c r="M22" s="2"/>
      <c r="N22" s="2"/>
      <c r="O22" s="2"/>
      <c r="P22" s="2"/>
      <c r="Q22" s="2"/>
      <c r="R22" s="2"/>
      <c r="S22" s="2"/>
      <c r="T22" s="2"/>
      <c r="U22" s="2"/>
      <c r="V22" s="2"/>
      <c r="W22" s="2"/>
      <c r="X22" s="2"/>
      <c r="Y22" s="2"/>
      <c r="Z22" s="2"/>
    </row>
    <row r="23" customFormat="false" ht="14.25" hidden="false" customHeight="false" outlineLevel="0" collapsed="false">
      <c r="A23" s="2"/>
      <c r="B23" s="2"/>
      <c r="C23" s="2"/>
      <c r="D23" s="2"/>
      <c r="E23" s="2"/>
      <c r="F23" s="2"/>
      <c r="G23" s="2"/>
      <c r="H23" s="2"/>
      <c r="I23" s="2"/>
      <c r="J23" s="2"/>
      <c r="K23" s="2"/>
      <c r="L23" s="2"/>
      <c r="M23" s="2"/>
      <c r="N23" s="2"/>
      <c r="O23" s="2"/>
      <c r="P23" s="2"/>
      <c r="Q23" s="2"/>
      <c r="R23" s="2"/>
      <c r="S23" s="2"/>
      <c r="T23" s="2"/>
      <c r="U23" s="2"/>
      <c r="V23" s="2"/>
      <c r="W23" s="2"/>
      <c r="X23" s="2"/>
      <c r="Y23" s="2"/>
      <c r="Z23" s="2"/>
    </row>
    <row r="24" customFormat="false" ht="14.25" hidden="false" customHeight="false" outlineLevel="0" collapsed="false">
      <c r="A24" s="2"/>
      <c r="B24" s="2"/>
      <c r="C24" s="2"/>
      <c r="D24" s="2"/>
      <c r="E24" s="2"/>
      <c r="F24" s="2"/>
      <c r="G24" s="2"/>
      <c r="H24" s="2"/>
      <c r="I24" s="2"/>
      <c r="J24" s="2"/>
      <c r="K24" s="2"/>
      <c r="L24" s="2"/>
      <c r="M24" s="2"/>
      <c r="N24" s="2"/>
      <c r="O24" s="2"/>
      <c r="P24" s="2"/>
      <c r="Q24" s="2"/>
      <c r="R24" s="2"/>
      <c r="S24" s="2"/>
      <c r="T24" s="2"/>
      <c r="U24" s="2"/>
      <c r="V24" s="2"/>
      <c r="W24" s="2"/>
      <c r="X24" s="2"/>
      <c r="Y24" s="2"/>
      <c r="Z24" s="2"/>
    </row>
    <row r="25" customFormat="false" ht="14.25" hidden="false" customHeight="false" outlineLevel="0" collapsed="false">
      <c r="A25" s="2"/>
      <c r="B25" s="2"/>
      <c r="C25" s="2"/>
      <c r="D25" s="2"/>
      <c r="E25" s="2"/>
      <c r="F25" s="2"/>
      <c r="G25" s="2"/>
      <c r="H25" s="2"/>
      <c r="I25" s="2"/>
      <c r="J25" s="2"/>
      <c r="K25" s="2"/>
      <c r="L25" s="2"/>
      <c r="M25" s="2"/>
      <c r="N25" s="2"/>
      <c r="O25" s="2"/>
      <c r="P25" s="2"/>
      <c r="Q25" s="2"/>
      <c r="R25" s="2"/>
      <c r="S25" s="2"/>
      <c r="T25" s="2"/>
      <c r="U25" s="2"/>
      <c r="V25" s="2"/>
      <c r="W25" s="2"/>
      <c r="X25" s="2"/>
      <c r="Y25" s="2"/>
      <c r="Z25" s="2"/>
    </row>
    <row r="26" customFormat="false" ht="14.25" hidden="false" customHeight="false" outlineLevel="0" collapsed="false">
      <c r="A26" s="2"/>
      <c r="B26" s="2"/>
      <c r="C26" s="2"/>
      <c r="D26" s="2"/>
      <c r="E26" s="2"/>
      <c r="F26" s="2"/>
      <c r="G26" s="2"/>
      <c r="H26" s="2"/>
      <c r="I26" s="2"/>
      <c r="J26" s="2"/>
      <c r="K26" s="2"/>
      <c r="L26" s="2"/>
      <c r="M26" s="2"/>
      <c r="N26" s="2"/>
      <c r="O26" s="2"/>
      <c r="P26" s="2"/>
      <c r="Q26" s="2"/>
      <c r="R26" s="2"/>
      <c r="S26" s="2"/>
      <c r="T26" s="2"/>
      <c r="U26" s="2"/>
      <c r="V26" s="2"/>
      <c r="W26" s="2"/>
      <c r="X26" s="2"/>
      <c r="Y26" s="2"/>
      <c r="Z26" s="2"/>
    </row>
    <row r="27" customFormat="false" ht="14.25" hidden="false" customHeight="false" outlineLevel="0" collapsed="false">
      <c r="A27" s="2"/>
      <c r="B27" s="2"/>
      <c r="C27" s="2"/>
      <c r="D27" s="2"/>
      <c r="E27" s="2"/>
      <c r="F27" s="2"/>
      <c r="G27" s="2"/>
      <c r="H27" s="2"/>
      <c r="I27" s="2"/>
      <c r="J27" s="2"/>
      <c r="K27" s="2"/>
      <c r="L27" s="2"/>
      <c r="M27" s="2"/>
      <c r="N27" s="2"/>
      <c r="O27" s="2"/>
      <c r="P27" s="2"/>
      <c r="Q27" s="2"/>
      <c r="R27" s="2"/>
      <c r="S27" s="2"/>
      <c r="T27" s="2"/>
      <c r="U27" s="2"/>
      <c r="V27" s="2"/>
      <c r="W27" s="2"/>
      <c r="X27" s="2"/>
      <c r="Y27" s="2"/>
      <c r="Z27" s="2"/>
    </row>
    <row r="28" customFormat="false" ht="14.25" hidden="false" customHeight="false" outlineLevel="0" collapsed="false">
      <c r="A28" s="2"/>
      <c r="B28" s="2"/>
      <c r="C28" s="2"/>
      <c r="D28" s="2"/>
      <c r="E28" s="2"/>
      <c r="F28" s="2"/>
      <c r="G28" s="2"/>
      <c r="H28" s="2"/>
      <c r="I28" s="2"/>
      <c r="J28" s="2"/>
      <c r="K28" s="2"/>
      <c r="L28" s="2"/>
      <c r="M28" s="2"/>
      <c r="N28" s="2"/>
      <c r="O28" s="2"/>
      <c r="P28" s="2"/>
      <c r="Q28" s="2"/>
      <c r="R28" s="2"/>
      <c r="S28" s="2"/>
      <c r="T28" s="2"/>
      <c r="U28" s="2"/>
      <c r="V28" s="2"/>
      <c r="W28" s="2"/>
      <c r="X28" s="2"/>
      <c r="Y28" s="2"/>
      <c r="Z28" s="2"/>
    </row>
    <row r="29" customFormat="false" ht="14.25" hidden="false" customHeight="false" outlineLevel="0" collapsed="false">
      <c r="A29" s="2"/>
      <c r="B29" s="2"/>
      <c r="C29" s="2"/>
      <c r="D29" s="2"/>
      <c r="E29" s="2"/>
      <c r="F29" s="2"/>
      <c r="G29" s="2"/>
      <c r="H29" s="2"/>
      <c r="I29" s="2"/>
      <c r="J29" s="2"/>
      <c r="K29" s="2"/>
      <c r="L29" s="2"/>
      <c r="M29" s="2"/>
      <c r="N29" s="2"/>
      <c r="O29" s="2"/>
      <c r="P29" s="2"/>
      <c r="Q29" s="2"/>
      <c r="R29" s="2"/>
      <c r="S29" s="2"/>
      <c r="T29" s="2"/>
      <c r="U29" s="2"/>
      <c r="V29" s="2"/>
      <c r="W29" s="2"/>
      <c r="X29" s="2"/>
      <c r="Y29" s="2"/>
      <c r="Z29" s="2"/>
    </row>
    <row r="30" customFormat="false" ht="14.25" hidden="false" customHeight="false" outlineLevel="0" collapsed="false">
      <c r="A30" s="2"/>
      <c r="B30" s="2"/>
      <c r="C30" s="2"/>
      <c r="D30" s="2"/>
      <c r="E30" s="2"/>
      <c r="F30" s="2"/>
      <c r="G30" s="2"/>
      <c r="H30" s="2"/>
      <c r="I30" s="2"/>
      <c r="J30" s="2"/>
      <c r="K30" s="2"/>
      <c r="L30" s="2"/>
      <c r="M30" s="2"/>
      <c r="N30" s="2"/>
      <c r="O30" s="2"/>
      <c r="P30" s="2"/>
      <c r="Q30" s="2"/>
      <c r="R30" s="2"/>
      <c r="S30" s="2"/>
      <c r="T30" s="2"/>
      <c r="U30" s="2"/>
      <c r="V30" s="2"/>
      <c r="W30" s="2"/>
      <c r="X30" s="2"/>
      <c r="Y30" s="2"/>
      <c r="Z30" s="2"/>
    </row>
    <row r="31" customFormat="false" ht="14.25" hidden="false" customHeight="false" outlineLevel="0" collapsed="false">
      <c r="A31" s="2"/>
      <c r="B31" s="2"/>
      <c r="C31" s="2"/>
      <c r="D31" s="2"/>
      <c r="E31" s="2"/>
      <c r="F31" s="2"/>
      <c r="G31" s="2"/>
      <c r="H31" s="2"/>
      <c r="I31" s="2"/>
      <c r="J31" s="2"/>
      <c r="K31" s="2"/>
      <c r="L31" s="2"/>
      <c r="M31" s="2"/>
      <c r="N31" s="2"/>
      <c r="O31" s="2"/>
      <c r="P31" s="2"/>
      <c r="Q31" s="2"/>
      <c r="R31" s="2"/>
      <c r="S31" s="2"/>
      <c r="T31" s="2"/>
      <c r="U31" s="2"/>
      <c r="V31" s="2"/>
      <c r="W31" s="2"/>
      <c r="X31" s="2"/>
      <c r="Y31" s="2"/>
      <c r="Z31" s="2"/>
    </row>
    <row r="32" customFormat="false" ht="14.25" hidden="false" customHeight="false" outlineLevel="0" collapsed="false">
      <c r="A32" s="2"/>
      <c r="B32" s="2"/>
      <c r="C32" s="2"/>
      <c r="D32" s="2"/>
      <c r="E32" s="2"/>
      <c r="F32" s="2"/>
      <c r="G32" s="2"/>
      <c r="H32" s="2"/>
      <c r="I32" s="2"/>
      <c r="J32" s="2"/>
      <c r="K32" s="2"/>
      <c r="L32" s="2"/>
      <c r="M32" s="2"/>
      <c r="N32" s="2"/>
      <c r="O32" s="2"/>
      <c r="P32" s="2"/>
      <c r="Q32" s="2"/>
      <c r="R32" s="2"/>
      <c r="S32" s="2"/>
      <c r="T32" s="2"/>
      <c r="U32" s="2"/>
      <c r="V32" s="2"/>
      <c r="W32" s="2"/>
      <c r="X32" s="2"/>
      <c r="Y32" s="2"/>
      <c r="Z32" s="2"/>
    </row>
    <row r="33" customFormat="false" ht="14.25" hidden="false" customHeight="false" outlineLevel="0" collapsed="false">
      <c r="A33" s="2"/>
      <c r="B33" s="2"/>
      <c r="C33" s="2"/>
      <c r="D33" s="2"/>
      <c r="E33" s="2"/>
      <c r="F33" s="2"/>
      <c r="G33" s="2"/>
      <c r="H33" s="2"/>
      <c r="I33" s="2"/>
      <c r="J33" s="2"/>
      <c r="K33" s="2"/>
      <c r="L33" s="2"/>
      <c r="M33" s="2"/>
      <c r="N33" s="2"/>
      <c r="O33" s="2"/>
      <c r="P33" s="2"/>
      <c r="Q33" s="2"/>
      <c r="R33" s="2"/>
      <c r="S33" s="2"/>
      <c r="T33" s="2"/>
      <c r="U33" s="2"/>
      <c r="V33" s="2"/>
      <c r="W33" s="2"/>
      <c r="X33" s="2"/>
      <c r="Y33" s="2"/>
      <c r="Z33" s="2"/>
    </row>
    <row r="34" customFormat="false" ht="14.25" hidden="false" customHeight="false" outlineLevel="0" collapsed="false">
      <c r="A34" s="2"/>
      <c r="B34" s="2"/>
      <c r="C34" s="2"/>
      <c r="D34" s="2"/>
      <c r="E34" s="2"/>
      <c r="F34" s="2"/>
      <c r="G34" s="2"/>
      <c r="H34" s="2"/>
      <c r="I34" s="2"/>
      <c r="J34" s="2"/>
      <c r="K34" s="2"/>
      <c r="L34" s="2"/>
      <c r="M34" s="2"/>
      <c r="N34" s="2"/>
      <c r="O34" s="2"/>
      <c r="P34" s="2"/>
      <c r="Q34" s="2"/>
      <c r="R34" s="2"/>
      <c r="S34" s="2"/>
      <c r="T34" s="2"/>
      <c r="U34" s="2"/>
      <c r="V34" s="2"/>
      <c r="W34" s="2"/>
      <c r="X34" s="2"/>
      <c r="Y34" s="2"/>
      <c r="Z34" s="2"/>
    </row>
    <row r="35" customFormat="false" ht="14.25" hidden="false" customHeight="false" outlineLevel="0" collapsed="false">
      <c r="A35" s="2"/>
      <c r="B35" s="2"/>
      <c r="C35" s="2"/>
      <c r="D35" s="2"/>
      <c r="E35" s="2"/>
      <c r="F35" s="2"/>
      <c r="G35" s="2"/>
      <c r="H35" s="2"/>
      <c r="I35" s="2"/>
      <c r="J35" s="2"/>
      <c r="K35" s="2"/>
      <c r="L35" s="2"/>
      <c r="M35" s="2"/>
      <c r="N35" s="2"/>
      <c r="O35" s="2"/>
      <c r="P35" s="2"/>
      <c r="Q35" s="2"/>
      <c r="R35" s="2"/>
      <c r="S35" s="2"/>
      <c r="T35" s="2"/>
      <c r="U35" s="2"/>
      <c r="V35" s="2"/>
      <c r="W35" s="2"/>
      <c r="X35" s="2"/>
      <c r="Y35" s="2"/>
      <c r="Z35" s="2"/>
    </row>
    <row r="36" customFormat="false" ht="14.25" hidden="false" customHeight="false" outlineLevel="0" collapsed="false">
      <c r="A36" s="2"/>
      <c r="B36" s="2"/>
      <c r="C36" s="2"/>
      <c r="D36" s="2"/>
      <c r="E36" s="2"/>
      <c r="F36" s="2"/>
      <c r="G36" s="2"/>
      <c r="H36" s="2"/>
      <c r="I36" s="2"/>
      <c r="J36" s="2"/>
      <c r="K36" s="2"/>
      <c r="L36" s="2"/>
      <c r="M36" s="2"/>
      <c r="N36" s="2"/>
      <c r="O36" s="2"/>
      <c r="P36" s="2"/>
      <c r="Q36" s="2"/>
      <c r="R36" s="2"/>
      <c r="S36" s="2"/>
      <c r="T36" s="2"/>
      <c r="U36" s="2"/>
      <c r="V36" s="2"/>
      <c r="W36" s="2"/>
      <c r="X36" s="2"/>
      <c r="Y36" s="2"/>
      <c r="Z36" s="2"/>
    </row>
    <row r="37" customFormat="false" ht="14.25" hidden="false" customHeight="fals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row>
    <row r="38" customFormat="false" ht="14.25" hidden="false" customHeight="false" outlineLevel="0" collapsed="false">
      <c r="A38" s="2"/>
      <c r="B38" s="2"/>
      <c r="C38" s="2"/>
      <c r="D38" s="2"/>
      <c r="E38" s="2"/>
      <c r="F38" s="2"/>
      <c r="G38" s="2"/>
      <c r="H38" s="2"/>
      <c r="I38" s="2"/>
      <c r="J38" s="2"/>
      <c r="K38" s="2"/>
      <c r="L38" s="2"/>
      <c r="M38" s="2"/>
      <c r="N38" s="2"/>
      <c r="O38" s="2"/>
      <c r="P38" s="2"/>
      <c r="Q38" s="2"/>
      <c r="R38" s="2"/>
      <c r="S38" s="2"/>
      <c r="T38" s="2"/>
      <c r="U38" s="2"/>
      <c r="V38" s="2"/>
      <c r="W38" s="2"/>
      <c r="X38" s="2"/>
      <c r="Y38" s="2"/>
      <c r="Z38" s="2"/>
    </row>
    <row r="39" customFormat="false" ht="14.25" hidden="false" customHeight="false" outlineLevel="0" collapsed="false">
      <c r="A39" s="2"/>
      <c r="B39" s="2"/>
      <c r="C39" s="2"/>
      <c r="D39" s="2"/>
      <c r="E39" s="2"/>
      <c r="F39" s="2"/>
      <c r="G39" s="2"/>
      <c r="H39" s="2"/>
      <c r="I39" s="2"/>
      <c r="J39" s="2"/>
      <c r="K39" s="2"/>
      <c r="L39" s="2"/>
      <c r="M39" s="2"/>
      <c r="N39" s="2"/>
      <c r="O39" s="2"/>
      <c r="P39" s="2"/>
      <c r="Q39" s="2"/>
      <c r="R39" s="2"/>
      <c r="S39" s="2"/>
      <c r="T39" s="2"/>
      <c r="U39" s="2"/>
      <c r="V39" s="2"/>
      <c r="W39" s="2"/>
      <c r="X39" s="2"/>
      <c r="Y39" s="2"/>
      <c r="Z39" s="2"/>
    </row>
    <row r="40" customFormat="false" ht="14.25" hidden="false" customHeight="false" outlineLevel="0" collapsed="false">
      <c r="A40" s="2"/>
      <c r="B40" s="2"/>
      <c r="C40" s="2"/>
      <c r="D40" s="2"/>
      <c r="E40" s="2"/>
      <c r="F40" s="2"/>
      <c r="G40" s="2"/>
      <c r="H40" s="2"/>
      <c r="I40" s="2"/>
      <c r="J40" s="2"/>
      <c r="K40" s="2"/>
      <c r="L40" s="2"/>
      <c r="M40" s="2"/>
      <c r="N40" s="2"/>
      <c r="O40" s="2"/>
      <c r="P40" s="2"/>
      <c r="Q40" s="2"/>
      <c r="R40" s="2"/>
      <c r="S40" s="2"/>
      <c r="T40" s="2"/>
      <c r="U40" s="2"/>
      <c r="V40" s="2"/>
      <c r="W40" s="2"/>
      <c r="X40" s="2"/>
      <c r="Y40" s="2"/>
      <c r="Z40" s="2"/>
    </row>
    <row r="41" customFormat="false" ht="14.25" hidden="false" customHeight="false" outlineLevel="0" collapsed="false">
      <c r="A41" s="2"/>
      <c r="B41" s="2"/>
      <c r="C41" s="2"/>
      <c r="D41" s="2"/>
      <c r="E41" s="2"/>
      <c r="F41" s="2"/>
      <c r="G41" s="2"/>
      <c r="H41" s="2"/>
      <c r="I41" s="2"/>
      <c r="J41" s="2"/>
      <c r="K41" s="2"/>
      <c r="L41" s="2"/>
      <c r="M41" s="2"/>
      <c r="N41" s="2"/>
      <c r="O41" s="2"/>
      <c r="P41" s="2"/>
      <c r="Q41" s="2"/>
      <c r="R41" s="2"/>
      <c r="S41" s="2"/>
      <c r="T41" s="2"/>
      <c r="U41" s="2"/>
      <c r="V41" s="2"/>
      <c r="W41" s="2"/>
      <c r="X41" s="2"/>
      <c r="Y41" s="2"/>
      <c r="Z41" s="2"/>
    </row>
    <row r="42" customFormat="false" ht="14.25" hidden="false" customHeight="fals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row>
    <row r="43" customFormat="false" ht="14.25" hidden="false" customHeight="fals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row>
    <row r="44" customFormat="false" ht="14.25" hidden="false" customHeight="fals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row>
    <row r="45" customFormat="false" ht="14.25" hidden="false" customHeight="fals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row>
    <row r="46" customFormat="false" ht="14.25" hidden="false" customHeight="fals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row>
    <row r="47" customFormat="false" ht="14.25" hidden="false" customHeight="fals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row>
    <row r="48" customFormat="false" ht="14.25" hidden="false" customHeight="fals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row>
    <row r="49" customFormat="false" ht="14.25" hidden="false" customHeight="fals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row>
    <row r="50" customFormat="false" ht="14.25" hidden="false" customHeight="fals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row>
    <row r="51" customFormat="false" ht="14.25" hidden="false" customHeight="fals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row>
    <row r="52" customFormat="false" ht="14.25" hidden="false" customHeight="fals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row>
    <row r="53" customFormat="false" ht="14.25" hidden="false" customHeight="fals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row>
    <row r="54" customFormat="false" ht="14.25" hidden="false" customHeight="fals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row>
    <row r="55" customFormat="false" ht="14.25" hidden="false" customHeight="fals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row>
    <row r="56" customFormat="false" ht="14.25" hidden="false" customHeight="fals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row>
    <row r="57" customFormat="false" ht="14.25" hidden="false" customHeight="fals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row>
    <row r="58" customFormat="false" ht="14.25" hidden="false" customHeight="fals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row>
    <row r="59" customFormat="false" ht="14.25" hidden="false" customHeight="fals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row>
    <row r="60" customFormat="false" ht="14.25" hidden="false" customHeight="fals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4.25" hidden="false" customHeight="fals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4.25" hidden="false" customHeight="fals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4.25" hidden="false" customHeight="fals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4.25" hidden="false" customHeight="fals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4.25" hidden="false" customHeight="fals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4.25" hidden="false" customHeight="fals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4.25" hidden="false" customHeight="fals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4.25" hidden="false" customHeight="fals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4.25" hidden="false" customHeight="fals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4.25" hidden="false" customHeight="fals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4.25" hidden="false" customHeight="fals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4.25" hidden="false" customHeight="fals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4.25" hidden="false" customHeight="fals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4.25" hidden="false" customHeight="fals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4.25" hidden="false" customHeight="fals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4.25" hidden="false" customHeight="fals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4.25" hidden="false" customHeight="fals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4.25" hidden="false" customHeight="fals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4.25" hidden="false" customHeight="fals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4.25" hidden="false" customHeight="fals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4.25" hidden="false" customHeight="fals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4.25" hidden="false" customHeight="fals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4.25" hidden="false" customHeight="fals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4.25" hidden="false" customHeight="fals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4.25" hidden="false" customHeight="fals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4.25" hidden="false" customHeight="fals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4.25" hidden="false" customHeight="fals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4.25" hidden="false" customHeight="fals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4.25" hidden="false" customHeight="fals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4.25" hidden="false" customHeight="fals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4.25" hidden="false" customHeight="fals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4.25" hidden="false" customHeight="fals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4.25" hidden="false" customHeight="fals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4.25" hidden="false" customHeight="fals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4.25" hidden="false" customHeight="fals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4.25" hidden="false" customHeight="fals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4.25" hidden="false" customHeight="fals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4.25" hidden="false" customHeight="fals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4.25" hidden="false" customHeight="fals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4.25" hidden="false" customHeight="fals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4.25" hidden="false" customHeight="fals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4.25" hidden="false" customHeight="fals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4.25" hidden="false" customHeight="fals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4.25" hidden="false" customHeight="fals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4.25" hidden="false" customHeight="fals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4.25" hidden="false" customHeight="fals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4.25" hidden="false" customHeight="fals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4.25" hidden="false" customHeight="fals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4.25" hidden="false" customHeight="fals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4.25" hidden="false" customHeight="fals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4.25" hidden="false" customHeight="fals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4.25" hidden="false" customHeight="fals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4.25" hidden="false" customHeight="fals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4.25" hidden="false" customHeight="fals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4.25" hidden="false" customHeight="fals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4.25" hidden="false" customHeight="fals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4.25" hidden="false" customHeight="fals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4.25" hidden="false" customHeight="fals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4.25" hidden="false" customHeight="fals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4.25" hidden="false" customHeight="fals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4.25" hidden="false" customHeight="fals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4.25" hidden="false" customHeight="fals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4.25" hidden="false" customHeight="fals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4.25" hidden="false" customHeight="fals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4.25" hidden="false" customHeight="fals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4.25" hidden="false" customHeight="fals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4.25" hidden="false" customHeight="fals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4.25" hidden="false" customHeight="fals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4.25" hidden="false" customHeight="fals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4.25" hidden="false" customHeight="fals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4.25" hidden="false" customHeight="fals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4.25" hidden="false" customHeight="fals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4.25" hidden="false" customHeight="fals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4.25" hidden="false" customHeight="fals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4.25" hidden="false" customHeight="fals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4.25" hidden="false" customHeight="fals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4.25" hidden="false" customHeight="fals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4.25" hidden="false" customHeight="fals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4.25" hidden="false" customHeight="fals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4.25" hidden="false" customHeight="fals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4.25" hidden="false" customHeight="fals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4.25" hidden="false" customHeight="fals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4.25" hidden="false" customHeight="fals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4.25" hidden="false" customHeight="fals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4.25" hidden="false" customHeight="fals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4.25" hidden="false" customHeight="fals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4.25" hidden="false" customHeight="fals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4.25" hidden="false" customHeight="fals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4.25" hidden="false" customHeight="fals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4.25" hidden="false" customHeight="fals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4.25" hidden="false" customHeight="fals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4.25" hidden="false" customHeight="fals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4.25" hidden="false" customHeight="fals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4.25" hidden="false" customHeight="fals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4.25" hidden="false" customHeight="fals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4.25" hidden="false" customHeight="fals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4.25" hidden="false" customHeight="fals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4.25" hidden="false" customHeight="fals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4.25" hidden="false" customHeight="fals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4.25" hidden="false" customHeight="fals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4.25" hidden="false" customHeight="fals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4.25" hidden="false" customHeight="fals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4.25" hidden="false" customHeight="fals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4.25" hidden="false" customHeight="fals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4.25" hidden="false" customHeight="fals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4.25" hidden="false" customHeight="fals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4.25" hidden="false" customHeight="fals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4.25" hidden="false" customHeight="fals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4.25" hidden="false" customHeight="fals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4.25" hidden="false" customHeight="fals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4.25" hidden="false" customHeight="fals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4.25" hidden="false" customHeight="fals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4.25" hidden="false" customHeight="fals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4.25" hidden="false" customHeight="fals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4.25" hidden="false" customHeight="fals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4.25" hidden="false" customHeight="fals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4.25" hidden="false" customHeight="fals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4.25" hidden="false" customHeight="fals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4.25" hidden="false" customHeight="fals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4.25" hidden="false" customHeight="fals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4.25" hidden="false" customHeight="fals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4.25" hidden="false" customHeight="fals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4.25" hidden="false" customHeight="fals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4.25" hidden="false" customHeight="fals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4.25" hidden="false" customHeight="fals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4.25" hidden="false" customHeight="fals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4.25" hidden="false" customHeight="fals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4.25" hidden="false" customHeight="fals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4.25" hidden="false" customHeight="fals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4.25" hidden="false" customHeight="fals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4.25" hidden="false" customHeight="fals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4.25" hidden="false" customHeight="fals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4.25" hidden="false" customHeight="fals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4.25" hidden="false" customHeight="fals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4.25" hidden="false" customHeight="fals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4.25" hidden="false" customHeight="fals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4.25" hidden="false" customHeight="fals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4.25" hidden="false" customHeight="fals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4.25" hidden="false" customHeight="fals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4.25" hidden="false" customHeight="fals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sheetData>
  <mergeCells count="2">
    <mergeCell ref="A1:F1"/>
    <mergeCell ref="A2:F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24" t="s">
        <v>2178</v>
      </c>
    </row>
    <row r="2" customFormat="false" ht="15" hidden="false" customHeight="false" outlineLevel="0" collapsed="false">
      <c r="A2" s="25" t="s">
        <v>2179</v>
      </c>
      <c r="B2" s="25" t="s">
        <v>2180</v>
      </c>
      <c r="C2" s="25" t="s">
        <v>837</v>
      </c>
      <c r="D2" s="25" t="s">
        <v>2181</v>
      </c>
    </row>
    <row r="3" customFormat="false" ht="15" hidden="false" customHeight="false" outlineLevel="0" collapsed="false">
      <c r="A3" s="0" t="s">
        <v>686</v>
      </c>
      <c r="B3" s="0" t="s">
        <v>686</v>
      </c>
      <c r="C3" s="0" t="s">
        <v>853</v>
      </c>
      <c r="D3" s="0" t="s">
        <v>2182</v>
      </c>
    </row>
    <row r="4" customFormat="false" ht="15" hidden="false" customHeight="false" outlineLevel="0" collapsed="false">
      <c r="A4" s="0" t="s">
        <v>687</v>
      </c>
      <c r="B4" s="0" t="s">
        <v>687</v>
      </c>
      <c r="C4" s="0" t="s">
        <v>854</v>
      </c>
      <c r="D4" s="0" t="s">
        <v>2183</v>
      </c>
    </row>
    <row r="5" customFormat="false" ht="15" hidden="false" customHeight="false" outlineLevel="0" collapsed="false">
      <c r="B5" s="0" t="s">
        <v>849</v>
      </c>
      <c r="C5" s="0" t="s">
        <v>862</v>
      </c>
      <c r="D5" s="0" t="s">
        <v>2184</v>
      </c>
    </row>
    <row r="6" customFormat="false" ht="15" hidden="false" customHeight="false" outlineLevel="0" collapsed="false">
      <c r="C6" s="0" t="s">
        <v>847</v>
      </c>
      <c r="D6" s="0" t="s">
        <v>2185</v>
      </c>
    </row>
    <row r="7" customFormat="false" ht="15" hidden="false" customHeight="false" outlineLevel="0" collapsed="false">
      <c r="C7" s="0" t="s">
        <v>856</v>
      </c>
      <c r="D7" s="0" t="s">
        <v>2186</v>
      </c>
    </row>
    <row r="8" customFormat="false" ht="15" hidden="false" customHeight="false" outlineLevel="0" collapsed="false">
      <c r="C8" s="0" t="s">
        <v>885</v>
      </c>
    </row>
    <row r="9" customFormat="false" ht="15" hidden="false" customHeight="false" outlineLevel="0" collapsed="false">
      <c r="C9" s="0" t="s">
        <v>882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2026-07-16T03:12:40Z</dcterms:created>
  <dc:creator>openpyxl</dc:creator>
  <dc:description/>
  <dc:language>en-US</dc:language>
  <cp:lastModifiedBy>Ignacio Soto Iturbe</cp:lastModifiedBy>
  <dcterms:modified xsi:type="dcterms:W3CDTF">2026-07-16T03:12:41Z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